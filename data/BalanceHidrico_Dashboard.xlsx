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segurab\Documents\DashBoard\data\"/>
    </mc:Choice>
  </mc:AlternateContent>
  <xr:revisionPtr revIDLastSave="0" documentId="13_ncr:1_{F72B163A-5C93-404C-97D9-7CEE74094BB0}" xr6:coauthVersionLast="47" xr6:coauthVersionMax="47" xr10:uidLastSave="{00000000-0000-0000-0000-000000000000}"/>
  <bookViews>
    <workbookView xWindow="28680" yWindow="-120" windowWidth="29040" windowHeight="15720" xr2:uid="{11150094-1AF8-482C-9061-8E57AC1C8E9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O50" i="1"/>
  <c r="L50" i="1"/>
  <c r="K50" i="1"/>
  <c r="L49" i="1"/>
  <c r="K49" i="1"/>
  <c r="M47" i="1"/>
  <c r="L47" i="1"/>
  <c r="K47" i="1"/>
  <c r="G47" i="1"/>
  <c r="O47" i="1" s="1"/>
  <c r="F47" i="1"/>
  <c r="H47" i="1" s="1"/>
  <c r="J47" i="1" s="1"/>
  <c r="E47" i="1"/>
  <c r="D47" i="1"/>
  <c r="M46" i="1"/>
  <c r="L46" i="1"/>
  <c r="K46" i="1"/>
  <c r="G46" i="1"/>
  <c r="O46" i="1" s="1"/>
  <c r="F46" i="1"/>
  <c r="H46" i="1" s="1"/>
  <c r="J46" i="1" s="1"/>
  <c r="E46" i="1"/>
  <c r="D46" i="1"/>
  <c r="M45" i="1"/>
  <c r="L45" i="1"/>
  <c r="K45" i="1"/>
  <c r="G45" i="1"/>
  <c r="O45" i="1" s="1"/>
  <c r="F45" i="1"/>
  <c r="H45" i="1" s="1"/>
  <c r="J45" i="1" s="1"/>
  <c r="E45" i="1"/>
  <c r="D45" i="1"/>
  <c r="M44" i="1"/>
  <c r="L44" i="1"/>
  <c r="K44" i="1"/>
  <c r="G44" i="1"/>
  <c r="O44" i="1" s="1"/>
  <c r="F44" i="1"/>
  <c r="H44" i="1" s="1"/>
  <c r="J44" i="1" s="1"/>
  <c r="E44" i="1"/>
  <c r="D44" i="1"/>
  <c r="M43" i="1"/>
  <c r="L43" i="1"/>
  <c r="K43" i="1"/>
  <c r="G43" i="1"/>
  <c r="O43" i="1" s="1"/>
  <c r="F43" i="1"/>
  <c r="H43" i="1" s="1"/>
  <c r="J43" i="1" s="1"/>
  <c r="E43" i="1"/>
  <c r="D43" i="1"/>
  <c r="M42" i="1"/>
  <c r="L42" i="1"/>
  <c r="K42" i="1"/>
  <c r="G42" i="1"/>
  <c r="O42" i="1" s="1"/>
  <c r="F42" i="1"/>
  <c r="H42" i="1" s="1"/>
  <c r="J42" i="1" s="1"/>
  <c r="E42" i="1"/>
  <c r="D42" i="1"/>
  <c r="M41" i="1"/>
  <c r="L41" i="1"/>
  <c r="K41" i="1"/>
  <c r="G41" i="1"/>
  <c r="O41" i="1" s="1"/>
  <c r="F41" i="1"/>
  <c r="H41" i="1" s="1"/>
  <c r="J41" i="1" s="1"/>
  <c r="E41" i="1"/>
  <c r="D41" i="1"/>
  <c r="M40" i="1"/>
  <c r="L40" i="1"/>
  <c r="K40" i="1"/>
  <c r="G40" i="1"/>
  <c r="O40" i="1" s="1"/>
  <c r="F40" i="1"/>
  <c r="H40" i="1" s="1"/>
  <c r="J40" i="1" s="1"/>
  <c r="E40" i="1"/>
  <c r="D40" i="1"/>
  <c r="M39" i="1"/>
  <c r="L39" i="1"/>
  <c r="K39" i="1"/>
  <c r="G39" i="1"/>
  <c r="O39" i="1" s="1"/>
  <c r="F39" i="1"/>
  <c r="H39" i="1" s="1"/>
  <c r="J39" i="1" s="1"/>
  <c r="E39" i="1"/>
  <c r="D39" i="1"/>
  <c r="M38" i="1"/>
  <c r="L38" i="1"/>
  <c r="K38" i="1"/>
  <c r="G38" i="1"/>
  <c r="O38" i="1" s="1"/>
  <c r="F38" i="1"/>
  <c r="H38" i="1" s="1"/>
  <c r="J38" i="1" s="1"/>
  <c r="E38" i="1"/>
  <c r="D38" i="1"/>
  <c r="M37" i="1"/>
  <c r="L37" i="1"/>
  <c r="K37" i="1"/>
  <c r="G37" i="1"/>
  <c r="O37" i="1" s="1"/>
  <c r="F37" i="1"/>
  <c r="H37" i="1" s="1"/>
  <c r="J37" i="1" s="1"/>
  <c r="E37" i="1"/>
  <c r="D37" i="1"/>
  <c r="M36" i="1"/>
  <c r="L36" i="1"/>
  <c r="K36" i="1"/>
  <c r="G36" i="1"/>
  <c r="O36" i="1" s="1"/>
  <c r="F36" i="1"/>
  <c r="H36" i="1" s="1"/>
  <c r="J36" i="1" s="1"/>
  <c r="E36" i="1"/>
  <c r="D36" i="1"/>
  <c r="M35" i="1"/>
  <c r="L35" i="1"/>
  <c r="K35" i="1"/>
  <c r="G35" i="1"/>
  <c r="O35" i="1" s="1"/>
  <c r="F35" i="1"/>
  <c r="H35" i="1" s="1"/>
  <c r="J35" i="1" s="1"/>
  <c r="E35" i="1"/>
  <c r="D35" i="1"/>
  <c r="M34" i="1"/>
  <c r="L34" i="1"/>
  <c r="K34" i="1"/>
  <c r="G34" i="1"/>
  <c r="O34" i="1" s="1"/>
  <c r="F34" i="1"/>
  <c r="H34" i="1" s="1"/>
  <c r="J34" i="1" s="1"/>
  <c r="E34" i="1"/>
  <c r="D34" i="1"/>
  <c r="M33" i="1"/>
  <c r="L33" i="1"/>
  <c r="K33" i="1"/>
  <c r="G33" i="1"/>
  <c r="O33" i="1" s="1"/>
  <c r="F33" i="1"/>
  <c r="H33" i="1" s="1"/>
  <c r="J33" i="1" s="1"/>
  <c r="E33" i="1"/>
  <c r="D33" i="1"/>
  <c r="M32" i="1"/>
  <c r="L32" i="1"/>
  <c r="K32" i="1"/>
  <c r="G32" i="1"/>
  <c r="O32" i="1" s="1"/>
  <c r="F32" i="1"/>
  <c r="H32" i="1" s="1"/>
  <c r="J32" i="1" s="1"/>
  <c r="E32" i="1"/>
  <c r="D32" i="1"/>
  <c r="M31" i="1"/>
  <c r="L31" i="1"/>
  <c r="K31" i="1"/>
  <c r="G31" i="1"/>
  <c r="O31" i="1" s="1"/>
  <c r="F31" i="1"/>
  <c r="H31" i="1" s="1"/>
  <c r="J31" i="1" s="1"/>
  <c r="E31" i="1"/>
  <c r="D31" i="1"/>
  <c r="M30" i="1"/>
  <c r="L30" i="1"/>
  <c r="K30" i="1"/>
  <c r="G30" i="1"/>
  <c r="O30" i="1" s="1"/>
  <c r="F30" i="1"/>
  <c r="H30" i="1" s="1"/>
  <c r="J30" i="1" s="1"/>
  <c r="E30" i="1"/>
  <c r="D30" i="1"/>
  <c r="M29" i="1"/>
  <c r="L29" i="1"/>
  <c r="K29" i="1"/>
  <c r="G29" i="1"/>
  <c r="O29" i="1" s="1"/>
  <c r="F29" i="1"/>
  <c r="H29" i="1" s="1"/>
  <c r="J29" i="1" s="1"/>
  <c r="E29" i="1"/>
  <c r="D29" i="1"/>
  <c r="M28" i="1"/>
  <c r="L28" i="1"/>
  <c r="K28" i="1"/>
  <c r="G28" i="1"/>
  <c r="O28" i="1" s="1"/>
  <c r="F28" i="1"/>
  <c r="H28" i="1" s="1"/>
  <c r="J28" i="1" s="1"/>
  <c r="E28" i="1"/>
  <c r="D28" i="1"/>
  <c r="M27" i="1"/>
  <c r="L27" i="1"/>
  <c r="K27" i="1"/>
  <c r="G27" i="1"/>
  <c r="O27" i="1" s="1"/>
  <c r="F27" i="1"/>
  <c r="H27" i="1" s="1"/>
  <c r="J27" i="1" s="1"/>
  <c r="E27" i="1"/>
  <c r="D27" i="1"/>
  <c r="M26" i="1"/>
  <c r="L26" i="1"/>
  <c r="K26" i="1"/>
  <c r="G26" i="1"/>
  <c r="O26" i="1" s="1"/>
  <c r="F26" i="1"/>
  <c r="H26" i="1" s="1"/>
  <c r="J26" i="1" s="1"/>
  <c r="E26" i="1"/>
  <c r="D26" i="1"/>
  <c r="M25" i="1"/>
  <c r="L25" i="1"/>
  <c r="K25" i="1"/>
  <c r="G25" i="1"/>
  <c r="O25" i="1" s="1"/>
  <c r="F25" i="1"/>
  <c r="H25" i="1" s="1"/>
  <c r="J25" i="1" s="1"/>
  <c r="E25" i="1"/>
  <c r="D25" i="1"/>
  <c r="M24" i="1"/>
  <c r="L24" i="1"/>
  <c r="K24" i="1"/>
  <c r="G24" i="1"/>
  <c r="O24" i="1" s="1"/>
  <c r="F24" i="1"/>
  <c r="H24" i="1" s="1"/>
  <c r="J24" i="1" s="1"/>
  <c r="E24" i="1"/>
  <c r="D24" i="1"/>
  <c r="M23" i="1"/>
  <c r="L23" i="1"/>
  <c r="K23" i="1"/>
  <c r="G23" i="1"/>
  <c r="O23" i="1" s="1"/>
  <c r="F23" i="1"/>
  <c r="H23" i="1" s="1"/>
  <c r="J23" i="1" s="1"/>
  <c r="E23" i="1"/>
  <c r="D23" i="1"/>
  <c r="M22" i="1"/>
  <c r="L22" i="1"/>
  <c r="K22" i="1"/>
  <c r="G22" i="1"/>
  <c r="O22" i="1" s="1"/>
  <c r="F22" i="1"/>
  <c r="H22" i="1" s="1"/>
  <c r="J22" i="1" s="1"/>
  <c r="E22" i="1"/>
  <c r="D22" i="1"/>
  <c r="M21" i="1"/>
  <c r="L21" i="1"/>
  <c r="K21" i="1"/>
  <c r="G21" i="1"/>
  <c r="O21" i="1" s="1"/>
  <c r="F21" i="1"/>
  <c r="H21" i="1" s="1"/>
  <c r="J21" i="1" s="1"/>
  <c r="E21" i="1"/>
  <c r="D21" i="1"/>
  <c r="M20" i="1"/>
  <c r="L20" i="1"/>
  <c r="K20" i="1"/>
  <c r="G20" i="1"/>
  <c r="O20" i="1" s="1"/>
  <c r="F20" i="1"/>
  <c r="H20" i="1" s="1"/>
  <c r="J20" i="1" s="1"/>
  <c r="E20" i="1"/>
  <c r="D20" i="1"/>
  <c r="M19" i="1"/>
  <c r="L19" i="1"/>
  <c r="K19" i="1"/>
  <c r="G19" i="1"/>
  <c r="O19" i="1" s="1"/>
  <c r="F19" i="1"/>
  <c r="H19" i="1" s="1"/>
  <c r="J19" i="1" s="1"/>
  <c r="E19" i="1"/>
  <c r="D19" i="1"/>
  <c r="M18" i="1"/>
  <c r="L18" i="1"/>
  <c r="K18" i="1"/>
  <c r="G18" i="1"/>
  <c r="O18" i="1" s="1"/>
  <c r="F18" i="1"/>
  <c r="H18" i="1" s="1"/>
  <c r="J18" i="1" s="1"/>
  <c r="E18" i="1"/>
  <c r="D18" i="1"/>
  <c r="M17" i="1"/>
  <c r="L17" i="1"/>
  <c r="K17" i="1"/>
  <c r="G17" i="1"/>
  <c r="O17" i="1" s="1"/>
  <c r="F17" i="1"/>
  <c r="H17" i="1" s="1"/>
  <c r="J17" i="1" s="1"/>
  <c r="E17" i="1"/>
  <c r="D17" i="1"/>
  <c r="M16" i="1"/>
  <c r="L16" i="1"/>
  <c r="K16" i="1"/>
  <c r="G16" i="1"/>
  <c r="O16" i="1" s="1"/>
  <c r="F16" i="1"/>
  <c r="H16" i="1" s="1"/>
  <c r="J16" i="1" s="1"/>
  <c r="E16" i="1"/>
  <c r="D16" i="1"/>
  <c r="O15" i="1"/>
  <c r="B15" i="1"/>
  <c r="O14" i="1"/>
  <c r="B14" i="1"/>
  <c r="O13" i="1"/>
  <c r="B13" i="1"/>
  <c r="M12" i="1"/>
  <c r="L12" i="1"/>
  <c r="K12" i="1"/>
  <c r="G12" i="1"/>
  <c r="O12" i="1" s="1"/>
  <c r="F12" i="1"/>
  <c r="H12" i="1" s="1"/>
  <c r="J12" i="1" s="1"/>
  <c r="E12" i="1"/>
  <c r="D12" i="1"/>
  <c r="M11" i="1"/>
  <c r="L11" i="1"/>
  <c r="K11" i="1"/>
  <c r="G11" i="1"/>
  <c r="O11" i="1" s="1"/>
  <c r="F11" i="1"/>
  <c r="H11" i="1" s="1"/>
  <c r="J11" i="1" s="1"/>
  <c r="E11" i="1"/>
  <c r="D11" i="1"/>
  <c r="M10" i="1"/>
  <c r="L10" i="1"/>
  <c r="K10" i="1"/>
  <c r="G10" i="1"/>
  <c r="O10" i="1" s="1"/>
  <c r="F10" i="1"/>
  <c r="H10" i="1" s="1"/>
  <c r="J10" i="1" s="1"/>
  <c r="E10" i="1"/>
  <c r="D10" i="1"/>
  <c r="M9" i="1"/>
  <c r="L9" i="1"/>
  <c r="K9" i="1"/>
  <c r="G9" i="1"/>
  <c r="O9" i="1" s="1"/>
  <c r="F9" i="1"/>
  <c r="H9" i="1" s="1"/>
  <c r="J9" i="1" s="1"/>
  <c r="E9" i="1"/>
  <c r="D9" i="1"/>
  <c r="M8" i="1"/>
  <c r="L8" i="1"/>
  <c r="K8" i="1"/>
  <c r="G8" i="1"/>
  <c r="O8" i="1" s="1"/>
  <c r="F8" i="1"/>
  <c r="H8" i="1" s="1"/>
  <c r="J8" i="1" s="1"/>
  <c r="E8" i="1"/>
  <c r="D8" i="1"/>
  <c r="M7" i="1"/>
  <c r="L7" i="1"/>
  <c r="K7" i="1"/>
  <c r="G7" i="1"/>
  <c r="O7" i="1" s="1"/>
  <c r="F7" i="1"/>
  <c r="H7" i="1" s="1"/>
  <c r="J7" i="1" s="1"/>
  <c r="E7" i="1"/>
  <c r="D7" i="1"/>
  <c r="M6" i="1"/>
  <c r="L6" i="1"/>
  <c r="K6" i="1"/>
  <c r="G6" i="1"/>
  <c r="O6" i="1" s="1"/>
  <c r="F6" i="1"/>
  <c r="H6" i="1" s="1"/>
  <c r="J6" i="1" s="1"/>
  <c r="E6" i="1"/>
  <c r="D6" i="1"/>
  <c r="M5" i="1"/>
  <c r="L5" i="1"/>
  <c r="K5" i="1"/>
  <c r="G5" i="1"/>
  <c r="O5" i="1" s="1"/>
  <c r="F5" i="1"/>
  <c r="H5" i="1" s="1"/>
  <c r="J5" i="1" s="1"/>
  <c r="E5" i="1"/>
  <c r="D5" i="1"/>
  <c r="M4" i="1"/>
  <c r="L4" i="1"/>
  <c r="K4" i="1"/>
  <c r="G4" i="1"/>
  <c r="O4" i="1" s="1"/>
  <c r="F4" i="1"/>
  <c r="E4" i="1"/>
  <c r="D4" i="1"/>
  <c r="B3" i="1"/>
  <c r="N42" i="1" l="1"/>
  <c r="N47" i="1"/>
  <c r="N21" i="1"/>
  <c r="N20" i="1"/>
  <c r="N45" i="1"/>
  <c r="N35" i="1"/>
  <c r="N10" i="1"/>
  <c r="N31" i="1"/>
  <c r="N23" i="1"/>
  <c r="N11" i="1"/>
  <c r="N24" i="1"/>
  <c r="N26" i="1"/>
  <c r="N34" i="1"/>
  <c r="N19" i="1"/>
  <c r="N39" i="1"/>
  <c r="N33" i="1"/>
  <c r="N22" i="1"/>
  <c r="M50" i="1"/>
  <c r="N50" i="1" s="1"/>
  <c r="N27" i="1"/>
  <c r="N30" i="1"/>
  <c r="N41" i="1"/>
  <c r="N7" i="1"/>
  <c r="H50" i="1"/>
  <c r="J50" i="1" s="1"/>
  <c r="N16" i="1"/>
  <c r="D49" i="1"/>
  <c r="N37" i="1"/>
  <c r="E49" i="1"/>
  <c r="N9" i="1"/>
  <c r="N18" i="1"/>
  <c r="N29" i="1"/>
  <c r="N40" i="1"/>
  <c r="N44" i="1"/>
  <c r="H49" i="1"/>
  <c r="J49" i="1" s="1"/>
  <c r="G49" i="1"/>
  <c r="O49" i="1" s="1"/>
  <c r="N6" i="1"/>
  <c r="N8" i="1"/>
  <c r="N12" i="1"/>
  <c r="N43" i="1"/>
  <c r="N46" i="1"/>
  <c r="N5" i="1"/>
  <c r="N25" i="1"/>
  <c r="N32" i="1"/>
  <c r="N36" i="1"/>
  <c r="N38" i="1"/>
  <c r="N17" i="1"/>
  <c r="N28" i="1"/>
  <c r="M49" i="1"/>
  <c r="N4" i="1"/>
  <c r="F49" i="1"/>
  <c r="H4" i="1"/>
  <c r="J4" i="1" s="1"/>
  <c r="N4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Felipe Martinez Sanchez</author>
  </authors>
  <commentList>
    <comment ref="J3" authorId="0" shapeId="0" xr:uid="{4DCB4576-5617-4871-BBE6-03056588632C}">
      <text>
        <r>
          <rPr>
            <b/>
            <sz val="9"/>
            <color indexed="81"/>
            <rFont val="Tahoma"/>
            <family val="2"/>
          </rPr>
          <t>Indicador de deterioro de la red, si es mayor a 1 comienza el deterioro</t>
        </r>
      </text>
    </comment>
    <comment ref="K3" authorId="0" shapeId="0" xr:uid="{1E3C4C7C-8F10-47B4-8FE6-15628AFAB304}">
      <text>
        <r>
          <rPr>
            <b/>
            <sz val="9"/>
            <color indexed="81"/>
            <rFont val="Tahoma"/>
            <family val="2"/>
          </rPr>
          <t xml:space="preserve">Dotación por volumen de entrada </t>
        </r>
      </text>
    </comment>
  </commentList>
</comments>
</file>

<file path=xl/sharedStrings.xml><?xml version="1.0" encoding="utf-8"?>
<sst xmlns="http://schemas.openxmlformats.org/spreadsheetml/2006/main" count="54" uniqueCount="54">
  <si>
    <t>Pérdidas aparantes  (Mm3/año)</t>
  </si>
  <si>
    <t>Pérdidas ténicas (Mm3/año)</t>
  </si>
  <si>
    <t>Fugas de fondo</t>
  </si>
  <si>
    <t>Pérdidas totales (Mm3/año)</t>
  </si>
  <si>
    <t>Pérdidas por km dia (m³/dia/km)</t>
  </si>
  <si>
    <t>Presión</t>
  </si>
  <si>
    <t>AMSI (m3/día/km/mca)</t>
  </si>
  <si>
    <t>Dotación nominal (m3/mes/usuario)</t>
  </si>
  <si>
    <t>Dotación facturada autorizada (m3/mes/usuario)</t>
  </si>
  <si>
    <t>UARL</t>
  </si>
  <si>
    <t>ILI</t>
  </si>
  <si>
    <t>IPUF</t>
  </si>
  <si>
    <t>Sector_</t>
  </si>
  <si>
    <t>Z1-05</t>
  </si>
  <si>
    <t>Z1-09</t>
  </si>
  <si>
    <t>Z1-35</t>
  </si>
  <si>
    <t>Z1-31</t>
  </si>
  <si>
    <t>Z1-18</t>
  </si>
  <si>
    <t>Z1-06</t>
  </si>
  <si>
    <t>Z1-07</t>
  </si>
  <si>
    <t>Z1-08</t>
  </si>
  <si>
    <t>Z1-32</t>
  </si>
  <si>
    <t>Z2-04</t>
  </si>
  <si>
    <t>Z2-10</t>
  </si>
  <si>
    <t>Z2-14</t>
  </si>
  <si>
    <t>Z2-16</t>
  </si>
  <si>
    <t>Z2-17</t>
  </si>
  <si>
    <t>Z2-18</t>
  </si>
  <si>
    <t>Z2-19</t>
  </si>
  <si>
    <t>Z2-33</t>
  </si>
  <si>
    <t>Z3-03</t>
  </si>
  <si>
    <t>Z3-11</t>
  </si>
  <si>
    <t>Z3-12</t>
  </si>
  <si>
    <t>Z3-15</t>
  </si>
  <si>
    <t>Z3-16</t>
  </si>
  <si>
    <t>Z3-19</t>
  </si>
  <si>
    <t>Z3-21</t>
  </si>
  <si>
    <t>Z3-25</t>
  </si>
  <si>
    <t>Z4-13</t>
  </si>
  <si>
    <t>Z4-15</t>
  </si>
  <si>
    <t>Z4-20</t>
  </si>
  <si>
    <t>Z4-22</t>
  </si>
  <si>
    <t>Z4-23</t>
  </si>
  <si>
    <t>Z4-24</t>
  </si>
  <si>
    <t>Z4-25</t>
  </si>
  <si>
    <t>Z4-26</t>
  </si>
  <si>
    <t>Z4-27</t>
  </si>
  <si>
    <t>Z4-28</t>
  </si>
  <si>
    <t>Z4-29</t>
  </si>
  <si>
    <t>Z4-36</t>
  </si>
  <si>
    <t>Z4-37</t>
  </si>
  <si>
    <t>Z5-01</t>
  </si>
  <si>
    <t>Z5-02</t>
  </si>
  <si>
    <t>Z5-30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</si>
</sst>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_-* #,##0.0_-;\-* #,##0.0_-;_-* &quot;-&quot;??_-;_-@_-"/>
    <numFmt numFmtId="168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65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8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" fontId="7" fillId="0" borderId="2" applyNumberFormat="0" applyProtection="0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</cellXfs>
  <cellStyles count="18">
    <cellStyle name="Millares [0] 2" xfId="7" xr:uid="{0C961BA8-8571-46A5-A1BD-3C628AE3EB97}"/>
    <cellStyle name="Millares 2" xfId="13" xr:uid="{329E20F3-6B31-4129-B7F6-7EA2EA0C2933}"/>
    <cellStyle name="Millares 3" xfId="14" xr:uid="{C44661F3-41FC-4DC1-9D3C-D41CC4907B70}"/>
    <cellStyle name="Millares 4" xfId="2" xr:uid="{320B88C8-8E2B-4277-9245-C7008366AA70}"/>
    <cellStyle name="Normal" xfId="0" builtinId="0"/>
    <cellStyle name="Normal 10" xfId="17" xr:uid="{EB0348C6-6DC6-4233-B85A-CF621FFBC196}"/>
    <cellStyle name="Normal 2" xfId="3" xr:uid="{2B131111-2AEE-4C5F-9ABD-F634954C91E9}"/>
    <cellStyle name="Normal 2 2" xfId="11" xr:uid="{F800623F-44DC-49FB-BA7E-5D81E960265D}"/>
    <cellStyle name="Normal 3" xfId="6" xr:uid="{8E4B4EE9-F510-40E1-99D9-1A93A454672C}"/>
    <cellStyle name="Normal 4" xfId="9" xr:uid="{08DBA189-64A1-4C83-B966-F61259E7D5DA}"/>
    <cellStyle name="Normal 5" xfId="12" xr:uid="{644F5B4E-37D7-456B-9AD0-C70354F9DCFB}"/>
    <cellStyle name="Normal 6" xfId="15" xr:uid="{B4660788-0ADB-4ECE-AEEE-7270AF6C15AC}"/>
    <cellStyle name="Normal 7" xfId="4" xr:uid="{FBD46C0B-129D-416A-B6DF-0BED72B8A99D}"/>
    <cellStyle name="Normal 8" xfId="1" xr:uid="{81210295-4BBD-40E7-907A-388073FD8C44}"/>
    <cellStyle name="Porcentaje 2" xfId="10" xr:uid="{AA1C45F0-220C-4AB9-9B24-666E1D846189}"/>
    <cellStyle name="Porcentaje 3" xfId="16" xr:uid="{4931F9EF-2E65-480F-9F2E-1F3D55E18AEA}"/>
    <cellStyle name="Porcentaje 4" xfId="5" xr:uid="{851E9AAB-578B-4A15-B922-2EFA32BADF0C}"/>
    <cellStyle name="SAPBEXstdData" xfId="8" xr:uid="{49B106AE-7F71-4337-8DE6-CEE4447917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Distribución</a:t>
            </a:r>
            <a:r>
              <a:rPr lang="en-US" b="1" baseline="0"/>
              <a:t> de pérdidas por sector hidráulico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[1]indicadores!$F$3</c:f>
              <c:strCache>
                <c:ptCount val="1"/>
                <c:pt idx="0">
                  <c:v>Pérdidas aparantes  (Mm3/año)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2"/>
              </a:solidFill>
            </a:ln>
            <a:effectLst/>
          </c:spPr>
          <c:invertIfNegative val="0"/>
          <c:cat>
            <c:strRef>
              <c:f>[1]indicadores!$E$4:$E$47</c:f>
              <c:strCache>
                <c:ptCount val="44"/>
                <c:pt idx="0">
                  <c:v>1 - 5</c:v>
                </c:pt>
                <c:pt idx="1">
                  <c:v>1 - 6</c:v>
                </c:pt>
                <c:pt idx="2">
                  <c:v>1 - 7</c:v>
                </c:pt>
                <c:pt idx="3">
                  <c:v>1 - 8</c:v>
                </c:pt>
                <c:pt idx="4">
                  <c:v>1 - 9</c:v>
                </c:pt>
                <c:pt idx="5">
                  <c:v>1 - 18</c:v>
                </c:pt>
                <c:pt idx="6">
                  <c:v>1 - 31</c:v>
                </c:pt>
                <c:pt idx="7">
                  <c:v>1 - 32</c:v>
                </c:pt>
                <c:pt idx="8">
                  <c:v>1 - 35</c:v>
                </c:pt>
                <c:pt idx="12">
                  <c:v>2 - 4</c:v>
                </c:pt>
                <c:pt idx="13">
                  <c:v>2 - 10</c:v>
                </c:pt>
                <c:pt idx="14">
                  <c:v>2 - 14</c:v>
                </c:pt>
                <c:pt idx="15">
                  <c:v>2 - 16</c:v>
                </c:pt>
                <c:pt idx="16">
                  <c:v>2 - 17</c:v>
                </c:pt>
                <c:pt idx="17">
                  <c:v>2 - 18</c:v>
                </c:pt>
                <c:pt idx="18">
                  <c:v>2 - 19</c:v>
                </c:pt>
                <c:pt idx="19">
                  <c:v>2 - 33</c:v>
                </c:pt>
                <c:pt idx="20">
                  <c:v>3 - 3</c:v>
                </c:pt>
                <c:pt idx="21">
                  <c:v>3 - 11</c:v>
                </c:pt>
                <c:pt idx="22">
                  <c:v>3 - 12</c:v>
                </c:pt>
                <c:pt idx="23">
                  <c:v>3 - 15</c:v>
                </c:pt>
                <c:pt idx="24">
                  <c:v>3 - 16</c:v>
                </c:pt>
                <c:pt idx="25">
                  <c:v>3 - 19</c:v>
                </c:pt>
                <c:pt idx="26">
                  <c:v>3 - 21</c:v>
                </c:pt>
                <c:pt idx="27">
                  <c:v>3 - 25</c:v>
                </c:pt>
                <c:pt idx="28">
                  <c:v>4 - 13</c:v>
                </c:pt>
                <c:pt idx="29">
                  <c:v>4 - 15</c:v>
                </c:pt>
                <c:pt idx="30">
                  <c:v>4 - 20</c:v>
                </c:pt>
                <c:pt idx="31">
                  <c:v>4 - 22</c:v>
                </c:pt>
                <c:pt idx="32">
                  <c:v>4 - 23</c:v>
                </c:pt>
                <c:pt idx="33">
                  <c:v>4 - 24</c:v>
                </c:pt>
                <c:pt idx="34">
                  <c:v>4 - 25</c:v>
                </c:pt>
                <c:pt idx="35">
                  <c:v>4 - 26</c:v>
                </c:pt>
                <c:pt idx="36">
                  <c:v>4 - 27</c:v>
                </c:pt>
                <c:pt idx="37">
                  <c:v>4 - 28</c:v>
                </c:pt>
                <c:pt idx="38">
                  <c:v>4 - 29</c:v>
                </c:pt>
                <c:pt idx="39">
                  <c:v>4 - 36</c:v>
                </c:pt>
                <c:pt idx="40">
                  <c:v>4 - 37</c:v>
                </c:pt>
                <c:pt idx="41">
                  <c:v>5 - 1</c:v>
                </c:pt>
                <c:pt idx="42">
                  <c:v>5 - 2</c:v>
                </c:pt>
                <c:pt idx="43">
                  <c:v>5 - 30</c:v>
                </c:pt>
              </c:strCache>
            </c:strRef>
          </c:cat>
          <c:val>
            <c:numRef>
              <c:f>[1]indicadores!$F$4:$F$47</c:f>
              <c:numCache>
                <c:formatCode>General</c:formatCode>
                <c:ptCount val="44"/>
                <c:pt idx="0">
                  <c:v>3.4748461607514685</c:v>
                </c:pt>
                <c:pt idx="1">
                  <c:v>3.551092270937569</c:v>
                </c:pt>
                <c:pt idx="2">
                  <c:v>4.136469639283356</c:v>
                </c:pt>
                <c:pt idx="3">
                  <c:v>1.9161219385088213</c:v>
                </c:pt>
                <c:pt idx="4">
                  <c:v>2.0528445973978622</c:v>
                </c:pt>
                <c:pt idx="5">
                  <c:v>1.4480637017992204</c:v>
                </c:pt>
                <c:pt idx="6">
                  <c:v>0.43587041265894344</c:v>
                </c:pt>
                <c:pt idx="7">
                  <c:v>-0.22194045412431179</c:v>
                </c:pt>
                <c:pt idx="8">
                  <c:v>0.54831881867576671</c:v>
                </c:pt>
                <c:pt idx="12">
                  <c:v>7.5174310716401367</c:v>
                </c:pt>
                <c:pt idx="13">
                  <c:v>1.5237967547895384</c:v>
                </c:pt>
                <c:pt idx="14">
                  <c:v>0.42200402341160875</c:v>
                </c:pt>
                <c:pt idx="15">
                  <c:v>0.17493878279145614</c:v>
                </c:pt>
                <c:pt idx="16">
                  <c:v>2.4981462167637147</c:v>
                </c:pt>
                <c:pt idx="17">
                  <c:v>-0.18751320859760456</c:v>
                </c:pt>
                <c:pt idx="18">
                  <c:v>3.9560608928318546</c:v>
                </c:pt>
                <c:pt idx="19">
                  <c:v>0.41406900334425556</c:v>
                </c:pt>
                <c:pt idx="20">
                  <c:v>1.5370167633986034</c:v>
                </c:pt>
                <c:pt idx="21">
                  <c:v>6.0196602506858392</c:v>
                </c:pt>
                <c:pt idx="22">
                  <c:v>-0.6355819901595241</c:v>
                </c:pt>
                <c:pt idx="23">
                  <c:v>1.0306193226492835</c:v>
                </c:pt>
                <c:pt idx="24">
                  <c:v>3.2510907923720289</c:v>
                </c:pt>
                <c:pt idx="25">
                  <c:v>3.8108948537121163</c:v>
                </c:pt>
                <c:pt idx="26">
                  <c:v>0.27474802669466969</c:v>
                </c:pt>
                <c:pt idx="27">
                  <c:v>0.3093420474916011</c:v>
                </c:pt>
                <c:pt idx="28">
                  <c:v>4.7196853499615914</c:v>
                </c:pt>
                <c:pt idx="29">
                  <c:v>6.7529865893865137</c:v>
                </c:pt>
                <c:pt idx="30">
                  <c:v>0.71158342640379635</c:v>
                </c:pt>
                <c:pt idx="31">
                  <c:v>0.98598402273537811</c:v>
                </c:pt>
                <c:pt idx="32">
                  <c:v>0.95302590272629861</c:v>
                </c:pt>
                <c:pt idx="33">
                  <c:v>1.2793503347007067</c:v>
                </c:pt>
                <c:pt idx="34">
                  <c:v>-3.1278326461826531E-2</c:v>
                </c:pt>
                <c:pt idx="35">
                  <c:v>4.1930369124233611</c:v>
                </c:pt>
                <c:pt idx="36">
                  <c:v>1.1959521452395148</c:v>
                </c:pt>
                <c:pt idx="37">
                  <c:v>1.515815819199958</c:v>
                </c:pt>
                <c:pt idx="38">
                  <c:v>4.5655779121995694</c:v>
                </c:pt>
                <c:pt idx="39">
                  <c:v>1.4561357508922139</c:v>
                </c:pt>
                <c:pt idx="40">
                  <c:v>1.3977551865248694</c:v>
                </c:pt>
                <c:pt idx="41">
                  <c:v>7.3066854655770133</c:v>
                </c:pt>
                <c:pt idx="42">
                  <c:v>3.0390336454518909</c:v>
                </c:pt>
                <c:pt idx="43">
                  <c:v>13.667535169888309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9-40C4-85EA-124A964FAF2B}"/>
            </c:ext>
          </c:extLst>
        </c:ser>
        <c:ser>
          <c:idx val="1"/>
          <c:order val="1"/>
          <c:tx>
            <c:strRef>
              <c:f>[1]indicadores!$G$3</c:f>
              <c:strCache>
                <c:ptCount val="1"/>
                <c:pt idx="0">
                  <c:v>Pérdidas ténicas (Mm3/año)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[1]indicadores!$E$4:$E$47</c:f>
              <c:strCache>
                <c:ptCount val="44"/>
                <c:pt idx="0">
                  <c:v>1 - 5</c:v>
                </c:pt>
                <c:pt idx="1">
                  <c:v>1 - 6</c:v>
                </c:pt>
                <c:pt idx="2">
                  <c:v>1 - 7</c:v>
                </c:pt>
                <c:pt idx="3">
                  <c:v>1 - 8</c:v>
                </c:pt>
                <c:pt idx="4">
                  <c:v>1 - 9</c:v>
                </c:pt>
                <c:pt idx="5">
                  <c:v>1 - 18</c:v>
                </c:pt>
                <c:pt idx="6">
                  <c:v>1 - 31</c:v>
                </c:pt>
                <c:pt idx="7">
                  <c:v>1 - 32</c:v>
                </c:pt>
                <c:pt idx="8">
                  <c:v>1 - 35</c:v>
                </c:pt>
                <c:pt idx="12">
                  <c:v>2 - 4</c:v>
                </c:pt>
                <c:pt idx="13">
                  <c:v>2 - 10</c:v>
                </c:pt>
                <c:pt idx="14">
                  <c:v>2 - 14</c:v>
                </c:pt>
                <c:pt idx="15">
                  <c:v>2 - 16</c:v>
                </c:pt>
                <c:pt idx="16">
                  <c:v>2 - 17</c:v>
                </c:pt>
                <c:pt idx="17">
                  <c:v>2 - 18</c:v>
                </c:pt>
                <c:pt idx="18">
                  <c:v>2 - 19</c:v>
                </c:pt>
                <c:pt idx="19">
                  <c:v>2 - 33</c:v>
                </c:pt>
                <c:pt idx="20">
                  <c:v>3 - 3</c:v>
                </c:pt>
                <c:pt idx="21">
                  <c:v>3 - 11</c:v>
                </c:pt>
                <c:pt idx="22">
                  <c:v>3 - 12</c:v>
                </c:pt>
                <c:pt idx="23">
                  <c:v>3 - 15</c:v>
                </c:pt>
                <c:pt idx="24">
                  <c:v>3 - 16</c:v>
                </c:pt>
                <c:pt idx="25">
                  <c:v>3 - 19</c:v>
                </c:pt>
                <c:pt idx="26">
                  <c:v>3 - 21</c:v>
                </c:pt>
                <c:pt idx="27">
                  <c:v>3 - 25</c:v>
                </c:pt>
                <c:pt idx="28">
                  <c:v>4 - 13</c:v>
                </c:pt>
                <c:pt idx="29">
                  <c:v>4 - 15</c:v>
                </c:pt>
                <c:pt idx="30">
                  <c:v>4 - 20</c:v>
                </c:pt>
                <c:pt idx="31">
                  <c:v>4 - 22</c:v>
                </c:pt>
                <c:pt idx="32">
                  <c:v>4 - 23</c:v>
                </c:pt>
                <c:pt idx="33">
                  <c:v>4 - 24</c:v>
                </c:pt>
                <c:pt idx="34">
                  <c:v>4 - 25</c:v>
                </c:pt>
                <c:pt idx="35">
                  <c:v>4 - 26</c:v>
                </c:pt>
                <c:pt idx="36">
                  <c:v>4 - 27</c:v>
                </c:pt>
                <c:pt idx="37">
                  <c:v>4 - 28</c:v>
                </c:pt>
                <c:pt idx="38">
                  <c:v>4 - 29</c:v>
                </c:pt>
                <c:pt idx="39">
                  <c:v>4 - 36</c:v>
                </c:pt>
                <c:pt idx="40">
                  <c:v>4 - 37</c:v>
                </c:pt>
                <c:pt idx="41">
                  <c:v>5 - 1</c:v>
                </c:pt>
                <c:pt idx="42">
                  <c:v>5 - 2</c:v>
                </c:pt>
                <c:pt idx="43">
                  <c:v>5 - 30</c:v>
                </c:pt>
              </c:strCache>
            </c:strRef>
          </c:cat>
          <c:val>
            <c:numRef>
              <c:f>[1]indicadores!$G$4:$G$47</c:f>
              <c:numCache>
                <c:formatCode>General</c:formatCode>
                <c:ptCount val="44"/>
                <c:pt idx="0">
                  <c:v>4.2835687074257187</c:v>
                </c:pt>
                <c:pt idx="1">
                  <c:v>2.0733086804869485</c:v>
                </c:pt>
                <c:pt idx="2">
                  <c:v>2.8918903482633267</c:v>
                </c:pt>
                <c:pt idx="3">
                  <c:v>1.1032750305516181</c:v>
                </c:pt>
                <c:pt idx="4">
                  <c:v>1.1419619265575094</c:v>
                </c:pt>
                <c:pt idx="5">
                  <c:v>0.59929132715060396</c:v>
                </c:pt>
                <c:pt idx="6">
                  <c:v>0.6157342814641269</c:v>
                </c:pt>
                <c:pt idx="7">
                  <c:v>0.1094321866399821</c:v>
                </c:pt>
                <c:pt idx="8">
                  <c:v>0.64928840314944181</c:v>
                </c:pt>
                <c:pt idx="12">
                  <c:v>7.4948522913660964</c:v>
                </c:pt>
                <c:pt idx="13">
                  <c:v>1.9738679412639701</c:v>
                </c:pt>
                <c:pt idx="14">
                  <c:v>0.29561841728819543</c:v>
                </c:pt>
                <c:pt idx="15">
                  <c:v>0.68534846280977435</c:v>
                </c:pt>
                <c:pt idx="16">
                  <c:v>4.6684598304067322</c:v>
                </c:pt>
                <c:pt idx="17">
                  <c:v>0.55911741030534134</c:v>
                </c:pt>
                <c:pt idx="18">
                  <c:v>0.65749963250671495</c:v>
                </c:pt>
                <c:pt idx="19">
                  <c:v>0.12186215627849287</c:v>
                </c:pt>
                <c:pt idx="20">
                  <c:v>3.275387054812712</c:v>
                </c:pt>
                <c:pt idx="21">
                  <c:v>4.3866259171353148</c:v>
                </c:pt>
                <c:pt idx="22">
                  <c:v>1.7806909817469216</c:v>
                </c:pt>
                <c:pt idx="23">
                  <c:v>0.57162170381080135</c:v>
                </c:pt>
                <c:pt idx="24">
                  <c:v>1.1065601811645216</c:v>
                </c:pt>
                <c:pt idx="25">
                  <c:v>3.9158227690398952</c:v>
                </c:pt>
                <c:pt idx="26">
                  <c:v>0.23164666198117714</c:v>
                </c:pt>
                <c:pt idx="27">
                  <c:v>0.17355699086159018</c:v>
                </c:pt>
                <c:pt idx="28">
                  <c:v>1.4567806647839292</c:v>
                </c:pt>
                <c:pt idx="29">
                  <c:v>3.4791051912749102</c:v>
                </c:pt>
                <c:pt idx="30">
                  <c:v>0.31550192338020228</c:v>
                </c:pt>
                <c:pt idx="31">
                  <c:v>0.71370414317334097</c:v>
                </c:pt>
                <c:pt idx="32">
                  <c:v>1.5879011598193686</c:v>
                </c:pt>
                <c:pt idx="33">
                  <c:v>0.47894712540327833</c:v>
                </c:pt>
                <c:pt idx="34">
                  <c:v>8.0258152572207461E-2</c:v>
                </c:pt>
                <c:pt idx="35">
                  <c:v>3.25664789285387</c:v>
                </c:pt>
                <c:pt idx="36">
                  <c:v>0.69013033029713566</c:v>
                </c:pt>
                <c:pt idx="37">
                  <c:v>0.41685745794422085</c:v>
                </c:pt>
                <c:pt idx="38">
                  <c:v>1.3257781992270272</c:v>
                </c:pt>
                <c:pt idx="39">
                  <c:v>1.9006682609752454</c:v>
                </c:pt>
                <c:pt idx="40">
                  <c:v>2.122982020190519</c:v>
                </c:pt>
                <c:pt idx="41">
                  <c:v>2.6914369017429767</c:v>
                </c:pt>
                <c:pt idx="42">
                  <c:v>7.4690001516186442</c:v>
                </c:pt>
                <c:pt idx="43">
                  <c:v>6.7502137188352922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9-40C4-85EA-124A964FA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245616"/>
        <c:axId val="602246576"/>
      </c:barChart>
      <c:catAx>
        <c:axId val="6022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2246576"/>
        <c:crosses val="autoZero"/>
        <c:auto val="1"/>
        <c:lblAlgn val="ctr"/>
        <c:lblOffset val="100"/>
        <c:noMultiLvlLbl val="0"/>
      </c:catAx>
      <c:valAx>
        <c:axId val="602246576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miter lim="800000"/>
              <a:headEnd type="none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/>
                  <a:t>Mm³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22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</a:t>
            </a:r>
            <a:r>
              <a:rPr lang="en-US" baseline="0"/>
              <a:t> de pérdidas por kilometro día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[1]indicadores!$J$3</c:f>
              <c:strCache>
                <c:ptCount val="1"/>
                <c:pt idx="0">
                  <c:v>Pérdidas por km dia (m³/dia/km)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349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[1]indicadores!$E$4:$E$47</c:f>
              <c:strCache>
                <c:ptCount val="44"/>
                <c:pt idx="0">
                  <c:v>1 - 5</c:v>
                </c:pt>
                <c:pt idx="1">
                  <c:v>1 - 6</c:v>
                </c:pt>
                <c:pt idx="2">
                  <c:v>1 - 7</c:v>
                </c:pt>
                <c:pt idx="3">
                  <c:v>1 - 8</c:v>
                </c:pt>
                <c:pt idx="4">
                  <c:v>1 - 9</c:v>
                </c:pt>
                <c:pt idx="5">
                  <c:v>1 - 18</c:v>
                </c:pt>
                <c:pt idx="6">
                  <c:v>1 - 31</c:v>
                </c:pt>
                <c:pt idx="7">
                  <c:v>1 - 32</c:v>
                </c:pt>
                <c:pt idx="8">
                  <c:v>1 - 35</c:v>
                </c:pt>
                <c:pt idx="12">
                  <c:v>2 - 4</c:v>
                </c:pt>
                <c:pt idx="13">
                  <c:v>2 - 10</c:v>
                </c:pt>
                <c:pt idx="14">
                  <c:v>2 - 14</c:v>
                </c:pt>
                <c:pt idx="15">
                  <c:v>2 - 16</c:v>
                </c:pt>
                <c:pt idx="16">
                  <c:v>2 - 17</c:v>
                </c:pt>
                <c:pt idx="17">
                  <c:v>2 - 18</c:v>
                </c:pt>
                <c:pt idx="18">
                  <c:v>2 - 19</c:v>
                </c:pt>
                <c:pt idx="19">
                  <c:v>2 - 33</c:v>
                </c:pt>
                <c:pt idx="20">
                  <c:v>3 - 3</c:v>
                </c:pt>
                <c:pt idx="21">
                  <c:v>3 - 11</c:v>
                </c:pt>
                <c:pt idx="22">
                  <c:v>3 - 12</c:v>
                </c:pt>
                <c:pt idx="23">
                  <c:v>3 - 15</c:v>
                </c:pt>
                <c:pt idx="24">
                  <c:v>3 - 16</c:v>
                </c:pt>
                <c:pt idx="25">
                  <c:v>3 - 19</c:v>
                </c:pt>
                <c:pt idx="26">
                  <c:v>3 - 21</c:v>
                </c:pt>
                <c:pt idx="27">
                  <c:v>3 - 25</c:v>
                </c:pt>
                <c:pt idx="28">
                  <c:v>4 - 13</c:v>
                </c:pt>
                <c:pt idx="29">
                  <c:v>4 - 15</c:v>
                </c:pt>
                <c:pt idx="30">
                  <c:v>4 - 20</c:v>
                </c:pt>
                <c:pt idx="31">
                  <c:v>4 - 22</c:v>
                </c:pt>
                <c:pt idx="32">
                  <c:v>4 - 23</c:v>
                </c:pt>
                <c:pt idx="33">
                  <c:v>4 - 24</c:v>
                </c:pt>
                <c:pt idx="34">
                  <c:v>4 - 25</c:v>
                </c:pt>
                <c:pt idx="35">
                  <c:v>4 - 26</c:v>
                </c:pt>
                <c:pt idx="36">
                  <c:v>4 - 27</c:v>
                </c:pt>
                <c:pt idx="37">
                  <c:v>4 - 28</c:v>
                </c:pt>
                <c:pt idx="38">
                  <c:v>4 - 29</c:v>
                </c:pt>
                <c:pt idx="39">
                  <c:v>4 - 36</c:v>
                </c:pt>
                <c:pt idx="40">
                  <c:v>4 - 37</c:v>
                </c:pt>
                <c:pt idx="41">
                  <c:v>5 - 1</c:v>
                </c:pt>
                <c:pt idx="42">
                  <c:v>5 - 2</c:v>
                </c:pt>
                <c:pt idx="43">
                  <c:v>5 - 30</c:v>
                </c:pt>
              </c:strCache>
            </c:strRef>
          </c:cat>
          <c:val>
            <c:numRef>
              <c:f>[1]indicadores!$J$4:$J$47</c:f>
              <c:numCache>
                <c:formatCode>General</c:formatCode>
                <c:ptCount val="44"/>
                <c:pt idx="0">
                  <c:v>20.877784664639492</c:v>
                </c:pt>
                <c:pt idx="1">
                  <c:v>20.877784664639488</c:v>
                </c:pt>
                <c:pt idx="2">
                  <c:v>21.863113103509626</c:v>
                </c:pt>
                <c:pt idx="3">
                  <c:v>20.877784664639488</c:v>
                </c:pt>
                <c:pt idx="4">
                  <c:v>10.313415166446219</c:v>
                </c:pt>
                <c:pt idx="5">
                  <c:v>60.913651447925268</c:v>
                </c:pt>
                <c:pt idx="6">
                  <c:v>20.877784664639488</c:v>
                </c:pt>
                <c:pt idx="7">
                  <c:v>20.877784664639492</c:v>
                </c:pt>
                <c:pt idx="8">
                  <c:v>20.877784664639488</c:v>
                </c:pt>
                <c:pt idx="12">
                  <c:v>27.76983738799327</c:v>
                </c:pt>
                <c:pt idx="13">
                  <c:v>33.482850889286212</c:v>
                </c:pt>
                <c:pt idx="14">
                  <c:v>7.3591425760171401</c:v>
                </c:pt>
                <c:pt idx="15">
                  <c:v>23.749251153208153</c:v>
                </c:pt>
                <c:pt idx="16">
                  <c:v>26.385173759536013</c:v>
                </c:pt>
                <c:pt idx="17">
                  <c:v>23.74925115320816</c:v>
                </c:pt>
                <c:pt idx="18">
                  <c:v>23.74925115320816</c:v>
                </c:pt>
                <c:pt idx="19">
                  <c:v>23.74925115320816</c:v>
                </c:pt>
                <c:pt idx="20">
                  <c:v>25.830897891972906</c:v>
                </c:pt>
                <c:pt idx="21">
                  <c:v>15.958599202728841</c:v>
                </c:pt>
                <c:pt idx="22">
                  <c:v>25.830897891972914</c:v>
                </c:pt>
                <c:pt idx="23">
                  <c:v>25.830897891972906</c:v>
                </c:pt>
                <c:pt idx="24">
                  <c:v>11.760256408252042</c:v>
                </c:pt>
                <c:pt idx="25">
                  <c:v>40.429878131943809</c:v>
                </c:pt>
                <c:pt idx="26">
                  <c:v>25.830897891972906</c:v>
                </c:pt>
                <c:pt idx="27">
                  <c:v>35.174857824966949</c:v>
                </c:pt>
                <c:pt idx="28">
                  <c:v>15.217692960254229</c:v>
                </c:pt>
                <c:pt idx="29">
                  <c:v>26.089350205582789</c:v>
                </c:pt>
                <c:pt idx="30">
                  <c:v>8.6015582475076968</c:v>
                </c:pt>
                <c:pt idx="31">
                  <c:v>20.73875935244082</c:v>
                </c:pt>
                <c:pt idx="32">
                  <c:v>59.799390262128412</c:v>
                </c:pt>
                <c:pt idx="33">
                  <c:v>26.089350205582797</c:v>
                </c:pt>
                <c:pt idx="34">
                  <c:v>26.089350205582786</c:v>
                </c:pt>
                <c:pt idx="35">
                  <c:v>26.089350205582789</c:v>
                </c:pt>
                <c:pt idx="36">
                  <c:v>26.089350205582797</c:v>
                </c:pt>
                <c:pt idx="37">
                  <c:v>26.089350205582789</c:v>
                </c:pt>
                <c:pt idx="38">
                  <c:v>26.089350205582797</c:v>
                </c:pt>
                <c:pt idx="39">
                  <c:v>26.089350205582797</c:v>
                </c:pt>
                <c:pt idx="40">
                  <c:v>26.089350205582789</c:v>
                </c:pt>
                <c:pt idx="41">
                  <c:v>14.080635914549214</c:v>
                </c:pt>
                <c:pt idx="42">
                  <c:v>30.08926808254548</c:v>
                </c:pt>
                <c:pt idx="43">
                  <c:v>46.097900250541748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A-4F79-BB0F-1B9366009E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9996928"/>
        <c:axId val="639996448"/>
      </c:barChart>
      <c:catAx>
        <c:axId val="63999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996448"/>
        <c:crosses val="autoZero"/>
        <c:auto val="1"/>
        <c:lblAlgn val="ctr"/>
        <c:lblOffset val="100"/>
        <c:noMultiLvlLbl val="0"/>
      </c:catAx>
      <c:valAx>
        <c:axId val="63999644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m³/dia/km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99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AMSI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[1]indicadores!$L$3</c:f>
              <c:strCache>
                <c:ptCount val="1"/>
                <c:pt idx="0">
                  <c:v>AMSI (m3/día/km/mca)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349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tx2"/>
              </a:solidFill>
              <a:ln w="34925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00-4855-B0E4-F0E23E55F03D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/>
              </a:solidFill>
              <a:ln w="34925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00-4855-B0E4-F0E23E55F03D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/>
              </a:solidFill>
              <a:ln w="34925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00-4855-B0E4-F0E23E55F03D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/>
              </a:solidFill>
              <a:ln w="34925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00-4855-B0E4-F0E23E55F03D}"/>
              </c:ext>
            </c:extLst>
          </c:dPt>
          <c:dPt>
            <c:idx val="39"/>
            <c:invertIfNegative val="0"/>
            <c:bubble3D val="0"/>
            <c:spPr>
              <a:solidFill>
                <a:schemeClr val="tx2"/>
              </a:solidFill>
              <a:ln w="34925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00-4855-B0E4-F0E23E55F03D}"/>
              </c:ext>
            </c:extLst>
          </c:dPt>
          <c:dPt>
            <c:idx val="40"/>
            <c:invertIfNegative val="0"/>
            <c:bubble3D val="0"/>
            <c:spPr>
              <a:solidFill>
                <a:schemeClr val="tx2"/>
              </a:solidFill>
              <a:ln w="34925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00-4855-B0E4-F0E23E55F03D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00-4855-B0E4-F0E23E55F03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00-4855-B0E4-F0E23E55F03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00-4855-B0E4-F0E23E55F03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00-4855-B0E4-F0E23E55F03D}"/>
                </c:ext>
              </c:extLst>
            </c:dLbl>
            <c:dLbl>
              <c:idx val="3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00-4855-B0E4-F0E23E55F03D}"/>
                </c:ext>
              </c:extLst>
            </c:dLbl>
            <c:dLbl>
              <c:idx val="4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300-4855-B0E4-F0E23E55F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[1]indicadores!$E$4:$E$47</c:f>
              <c:strCache>
                <c:ptCount val="44"/>
                <c:pt idx="0">
                  <c:v>1 - 5</c:v>
                </c:pt>
                <c:pt idx="1">
                  <c:v>1 - 6</c:v>
                </c:pt>
                <c:pt idx="2">
                  <c:v>1 - 7</c:v>
                </c:pt>
                <c:pt idx="3">
                  <c:v>1 - 8</c:v>
                </c:pt>
                <c:pt idx="4">
                  <c:v>1 - 9</c:v>
                </c:pt>
                <c:pt idx="5">
                  <c:v>1 - 18</c:v>
                </c:pt>
                <c:pt idx="6">
                  <c:v>1 - 31</c:v>
                </c:pt>
                <c:pt idx="7">
                  <c:v>1 - 32</c:v>
                </c:pt>
                <c:pt idx="8">
                  <c:v>1 - 35</c:v>
                </c:pt>
                <c:pt idx="12">
                  <c:v>2 - 4</c:v>
                </c:pt>
                <c:pt idx="13">
                  <c:v>2 - 10</c:v>
                </c:pt>
                <c:pt idx="14">
                  <c:v>2 - 14</c:v>
                </c:pt>
                <c:pt idx="15">
                  <c:v>2 - 16</c:v>
                </c:pt>
                <c:pt idx="16">
                  <c:v>2 - 17</c:v>
                </c:pt>
                <c:pt idx="17">
                  <c:v>2 - 18</c:v>
                </c:pt>
                <c:pt idx="18">
                  <c:v>2 - 19</c:v>
                </c:pt>
                <c:pt idx="19">
                  <c:v>2 - 33</c:v>
                </c:pt>
                <c:pt idx="20">
                  <c:v>3 - 3</c:v>
                </c:pt>
                <c:pt idx="21">
                  <c:v>3 - 11</c:v>
                </c:pt>
                <c:pt idx="22">
                  <c:v>3 - 12</c:v>
                </c:pt>
                <c:pt idx="23">
                  <c:v>3 - 15</c:v>
                </c:pt>
                <c:pt idx="24">
                  <c:v>3 - 16</c:v>
                </c:pt>
                <c:pt idx="25">
                  <c:v>3 - 19</c:v>
                </c:pt>
                <c:pt idx="26">
                  <c:v>3 - 21</c:v>
                </c:pt>
                <c:pt idx="27">
                  <c:v>3 - 25</c:v>
                </c:pt>
                <c:pt idx="28">
                  <c:v>4 - 13</c:v>
                </c:pt>
                <c:pt idx="29">
                  <c:v>4 - 15</c:v>
                </c:pt>
                <c:pt idx="30">
                  <c:v>4 - 20</c:v>
                </c:pt>
                <c:pt idx="31">
                  <c:v>4 - 22</c:v>
                </c:pt>
                <c:pt idx="32">
                  <c:v>4 - 23</c:v>
                </c:pt>
                <c:pt idx="33">
                  <c:v>4 - 24</c:v>
                </c:pt>
                <c:pt idx="34">
                  <c:v>4 - 25</c:v>
                </c:pt>
                <c:pt idx="35">
                  <c:v>4 - 26</c:v>
                </c:pt>
                <c:pt idx="36">
                  <c:v>4 - 27</c:v>
                </c:pt>
                <c:pt idx="37">
                  <c:v>4 - 28</c:v>
                </c:pt>
                <c:pt idx="38">
                  <c:v>4 - 29</c:v>
                </c:pt>
                <c:pt idx="39">
                  <c:v>4 - 36</c:v>
                </c:pt>
                <c:pt idx="40">
                  <c:v>4 - 37</c:v>
                </c:pt>
                <c:pt idx="41">
                  <c:v>5 - 1</c:v>
                </c:pt>
                <c:pt idx="42">
                  <c:v>5 - 2</c:v>
                </c:pt>
                <c:pt idx="43">
                  <c:v>5 - 30</c:v>
                </c:pt>
              </c:strCache>
            </c:strRef>
          </c:cat>
          <c:val>
            <c:numRef>
              <c:f>[1]indicadores!$L$4:$L$47</c:f>
              <c:numCache>
                <c:formatCode>General</c:formatCode>
                <c:ptCount val="44"/>
                <c:pt idx="0">
                  <c:v>0.73742633907212896</c:v>
                </c:pt>
                <c:pt idx="1">
                  <c:v>0.73686298816374662</c:v>
                </c:pt>
                <c:pt idx="2">
                  <c:v>0.77999337857120943</c:v>
                </c:pt>
                <c:pt idx="3">
                  <c:v>0.76219053901640965</c:v>
                </c:pt>
                <c:pt idx="4">
                  <c:v>0.3321891185772467</c:v>
                </c:pt>
                <c:pt idx="5">
                  <c:v>2.0304550482641757</c:v>
                </c:pt>
                <c:pt idx="6">
                  <c:v>0.49019344997019071</c:v>
                </c:pt>
                <c:pt idx="7">
                  <c:v>0.54843135835470902</c:v>
                </c:pt>
                <c:pt idx="8">
                  <c:v>0.78838184452809601</c:v>
                </c:pt>
                <c:pt idx="12">
                  <c:v>1.1510429549976977</c:v>
                </c:pt>
                <c:pt idx="13">
                  <c:v>1.4726911030928651</c:v>
                </c:pt>
                <c:pt idx="14">
                  <c:v>0.32140204288846308</c:v>
                </c:pt>
                <c:pt idx="15">
                  <c:v>0.94380007232219587</c:v>
                </c:pt>
                <c:pt idx="16">
                  <c:v>1.1306775916240686</c:v>
                </c:pt>
                <c:pt idx="17">
                  <c:v>1.1642318208644584</c:v>
                </c:pt>
                <c:pt idx="18">
                  <c:v>0.67614012514345934</c:v>
                </c:pt>
                <c:pt idx="19">
                  <c:v>0.83713347351801493</c:v>
                </c:pt>
                <c:pt idx="20">
                  <c:v>1.0119542119488407</c:v>
                </c:pt>
                <c:pt idx="21">
                  <c:v>0.70180148259197062</c:v>
                </c:pt>
                <c:pt idx="22">
                  <c:v>1.0679325537053022</c:v>
                </c:pt>
                <c:pt idx="23">
                  <c:v>0.78372063856048979</c:v>
                </c:pt>
                <c:pt idx="24">
                  <c:v>0.39200854694173476</c:v>
                </c:pt>
                <c:pt idx="25">
                  <c:v>1.347662604398127</c:v>
                </c:pt>
                <c:pt idx="26">
                  <c:v>0.66935188883793162</c:v>
                </c:pt>
                <c:pt idx="27">
                  <c:v>0.87588780096125973</c:v>
                </c:pt>
                <c:pt idx="28">
                  <c:v>0.55367309239659079</c:v>
                </c:pt>
                <c:pt idx="29">
                  <c:v>0.86964500685275969</c:v>
                </c:pt>
                <c:pt idx="30">
                  <c:v>0.28948061393965557</c:v>
                </c:pt>
                <c:pt idx="31">
                  <c:v>0.66884653118631177</c:v>
                </c:pt>
                <c:pt idx="32">
                  <c:v>2.1738765090829593</c:v>
                </c:pt>
                <c:pt idx="33">
                  <c:v>0.80426712173266235</c:v>
                </c:pt>
                <c:pt idx="34">
                  <c:v>0.86964500685275958</c:v>
                </c:pt>
                <c:pt idx="35">
                  <c:v>0.79950287025475364</c:v>
                </c:pt>
                <c:pt idx="36">
                  <c:v>0.70228962554624352</c:v>
                </c:pt>
                <c:pt idx="37">
                  <c:v>0.96119578456725652</c:v>
                </c:pt>
                <c:pt idx="38">
                  <c:v>0.91146439962335768</c:v>
                </c:pt>
                <c:pt idx="39">
                  <c:v>0.88635286801980318</c:v>
                </c:pt>
                <c:pt idx="40">
                  <c:v>0.96288968805904307</c:v>
                </c:pt>
                <c:pt idx="41">
                  <c:v>0.54064084779275912</c:v>
                </c:pt>
                <c:pt idx="42">
                  <c:v>1.1760688065937799</c:v>
                </c:pt>
                <c:pt idx="43">
                  <c:v>1.4254243726229574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00-4855-B0E4-F0E23E55F0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9996928"/>
        <c:axId val="639996448"/>
      </c:barChart>
      <c:catAx>
        <c:axId val="63999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996448"/>
        <c:crosses val="autoZero"/>
        <c:auto val="1"/>
        <c:lblAlgn val="ctr"/>
        <c:lblOffset val="100"/>
        <c:noMultiLvlLbl val="0"/>
      </c:catAx>
      <c:valAx>
        <c:axId val="63999644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m³/dia/km/mca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99692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740486</xdr:colOff>
      <xdr:row>2</xdr:row>
      <xdr:rowOff>99733</xdr:rowOff>
    </xdr:from>
    <xdr:to>
      <xdr:col>35</xdr:col>
      <xdr:colOff>389965</xdr:colOff>
      <xdr:row>30</xdr:row>
      <xdr:rowOff>149263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7EFD7E-D2BA-4743-B7D0-6201258E7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740486</xdr:colOff>
      <xdr:row>31</xdr:row>
      <xdr:rowOff>42359</xdr:rowOff>
    </xdr:from>
    <xdr:to>
      <xdr:col>35</xdr:col>
      <xdr:colOff>382345</xdr:colOff>
      <xdr:row>56</xdr:row>
      <xdr:rowOff>95923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539AAC-0A35-4452-9323-9671DFF1C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688256</xdr:colOff>
      <xdr:row>57</xdr:row>
      <xdr:rowOff>128844</xdr:rowOff>
    </xdr:from>
    <xdr:to>
      <xdr:col>35</xdr:col>
      <xdr:colOff>330115</xdr:colOff>
      <xdr:row>84</xdr:row>
      <xdr:rowOff>109794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8AE0C8-35B3-42AA-8A23-7D81D5DE9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.segurab/Downloads/Balance%20Hidrico%20Consolidado%20V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"/>
      <sheetName val="Resumen"/>
      <sheetName val="Annual"/>
      <sheetName val="Calculations"/>
      <sheetName val="Calculation"/>
      <sheetName val="Consolidado  Prueba"/>
      <sheetName val="Hoja2"/>
      <sheetName val="Formato"/>
      <sheetName val="Herramienta de Cálculo_"/>
      <sheetName val="Herramienta de Cálculo (2)"/>
      <sheetName val="Herramienta de Cálculo"/>
      <sheetName val="Hoja5"/>
      <sheetName val="Cierre balance "/>
      <sheetName val="Validación"/>
      <sheetName val="P.Proyectos"/>
      <sheetName val="Hoja4"/>
      <sheetName val="indicadores"/>
      <sheetName val="Esquema Final"/>
      <sheetName val="VE"/>
      <sheetName val="VEX"/>
      <sheetName val="VFM 01"/>
      <sheetName val="Esquema Balance Final"/>
      <sheetName val="Resumen (2)"/>
      <sheetName val="VFM 02"/>
      <sheetName val="VFM 03"/>
      <sheetName val="VFM 04"/>
      <sheetName val="VFNM 01"/>
      <sheetName val="VFNM 02"/>
      <sheetName val="VFNM 03"/>
      <sheetName val="VFNM 04-05"/>
      <sheetName val="VFNM 06"/>
      <sheetName val="VNFM 01"/>
      <sheetName val="VNFM 02"/>
      <sheetName val="VNFNM 01"/>
      <sheetName val="VNFNM 02"/>
      <sheetName val="VNFNM 03"/>
      <sheetName val="VNFNM 04"/>
      <sheetName val="VNFNM 05"/>
      <sheetName val="VNFNM 06"/>
      <sheetName val="PA 01"/>
      <sheetName val="PA 02"/>
      <sheetName val="PA 03"/>
      <sheetName val="PA 04"/>
      <sheetName val="PA 05"/>
      <sheetName val="PA 06"/>
      <sheetName val="PA 07"/>
      <sheetName val="PA 08"/>
      <sheetName val="PA 10"/>
      <sheetName val="Hoja1"/>
      <sheetName val="PA 11"/>
      <sheetName val="PR 01"/>
      <sheetName val="PR 02"/>
      <sheetName val="PR 03"/>
      <sheetName val="PR 04"/>
      <sheetName val="PR 05"/>
      <sheetName val="PR 06"/>
      <sheetName val="PR 07"/>
      <sheetName val="PR 01 (111)"/>
      <sheetName val="UARL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A4" t="str">
            <v>Zona</v>
          </cell>
          <cell r="B4" t="str">
            <v>Sector</v>
          </cell>
        </row>
        <row r="5">
          <cell r="B5">
            <v>5</v>
          </cell>
          <cell r="F5">
            <v>7.7584148681771872</v>
          </cell>
          <cell r="I5">
            <v>4.2835687074257187</v>
          </cell>
          <cell r="K5">
            <v>3.4748461607514685</v>
          </cell>
        </row>
        <row r="6">
          <cell r="B6">
            <v>6</v>
          </cell>
          <cell r="F6">
            <v>5.6244009514245175</v>
          </cell>
          <cell r="I6">
            <v>2.0733086804869485</v>
          </cell>
          <cell r="K6">
            <v>3.551092270937569</v>
          </cell>
        </row>
        <row r="7">
          <cell r="B7">
            <v>7</v>
          </cell>
          <cell r="F7">
            <v>7.0283599875466827</v>
          </cell>
          <cell r="I7">
            <v>2.8918903482633267</v>
          </cell>
          <cell r="K7">
            <v>4.136469639283356</v>
          </cell>
        </row>
        <row r="8">
          <cell r="B8">
            <v>8</v>
          </cell>
          <cell r="F8">
            <v>3.0193969690604394</v>
          </cell>
          <cell r="I8">
            <v>1.1032750305516181</v>
          </cell>
          <cell r="K8">
            <v>1.9161219385088213</v>
          </cell>
        </row>
        <row r="9">
          <cell r="B9">
            <v>9</v>
          </cell>
          <cell r="F9">
            <v>3.1948065239553713</v>
          </cell>
          <cell r="I9">
            <v>1.1419619265575094</v>
          </cell>
          <cell r="K9">
            <v>2.0528445973978622</v>
          </cell>
        </row>
        <row r="10">
          <cell r="B10">
            <v>18</v>
          </cell>
          <cell r="F10">
            <v>2.0473550289498244</v>
          </cell>
          <cell r="I10">
            <v>0.59929132715060396</v>
          </cell>
          <cell r="K10">
            <v>1.4480637017992204</v>
          </cell>
        </row>
        <row r="11">
          <cell r="B11">
            <v>31</v>
          </cell>
          <cell r="F11">
            <v>1.0516046941230703</v>
          </cell>
          <cell r="I11">
            <v>0.6157342814641269</v>
          </cell>
          <cell r="K11">
            <v>0.43587041265894344</v>
          </cell>
        </row>
        <row r="12">
          <cell r="B12">
            <v>32</v>
          </cell>
          <cell r="F12">
            <v>-0.11250826748432968</v>
          </cell>
          <cell r="I12">
            <v>0.1094321866399821</v>
          </cell>
          <cell r="K12">
            <v>-0.22194045412431179</v>
          </cell>
        </row>
        <row r="13">
          <cell r="B13">
            <v>35</v>
          </cell>
          <cell r="F13">
            <v>1.1976072218252085</v>
          </cell>
          <cell r="I13">
            <v>0.64928840314944181</v>
          </cell>
          <cell r="K13">
            <v>0.54831881867576671</v>
          </cell>
        </row>
        <row r="14">
          <cell r="A14"/>
          <cell r="B14"/>
        </row>
        <row r="15">
          <cell r="A15"/>
          <cell r="B15"/>
        </row>
        <row r="16">
          <cell r="A16"/>
          <cell r="B16"/>
        </row>
        <row r="17">
          <cell r="B17">
            <v>4</v>
          </cell>
          <cell r="F17">
            <v>15.012283363006233</v>
          </cell>
          <cell r="I17">
            <v>7.4948522913660964</v>
          </cell>
          <cell r="K17">
            <v>7.5174310716401367</v>
          </cell>
        </row>
        <row r="18">
          <cell r="B18">
            <v>10</v>
          </cell>
          <cell r="F18">
            <v>3.4976646960535085</v>
          </cell>
          <cell r="I18">
            <v>1.9738679412639701</v>
          </cell>
          <cell r="K18">
            <v>1.5237967547895384</v>
          </cell>
        </row>
        <row r="19">
          <cell r="B19">
            <v>14</v>
          </cell>
          <cell r="F19">
            <v>0.71762244069980419</v>
          </cell>
          <cell r="I19">
            <v>0.29561841728819543</v>
          </cell>
          <cell r="K19">
            <v>0.42200402341160875</v>
          </cell>
        </row>
        <row r="20">
          <cell r="B20">
            <v>16</v>
          </cell>
          <cell r="F20">
            <v>0.86028724560123049</v>
          </cell>
          <cell r="I20">
            <v>0.68534846280977435</v>
          </cell>
          <cell r="K20">
            <v>0.17493878279145614</v>
          </cell>
        </row>
        <row r="21">
          <cell r="B21">
            <v>17</v>
          </cell>
          <cell r="F21">
            <v>7.1666060471704469</v>
          </cell>
          <cell r="I21">
            <v>4.6684598304067322</v>
          </cell>
          <cell r="K21">
            <v>2.4981462167637147</v>
          </cell>
        </row>
        <row r="22">
          <cell r="B22">
            <v>18</v>
          </cell>
          <cell r="F22">
            <v>0.37160420170773678</v>
          </cell>
          <cell r="I22">
            <v>0.55911741030534134</v>
          </cell>
          <cell r="K22">
            <v>-0.18751320859760456</v>
          </cell>
        </row>
        <row r="23">
          <cell r="B23">
            <v>19</v>
          </cell>
          <cell r="F23">
            <v>4.6135605253385696</v>
          </cell>
          <cell r="I23">
            <v>0.65749963250671495</v>
          </cell>
          <cell r="K23">
            <v>3.9560608928318546</v>
          </cell>
        </row>
        <row r="24">
          <cell r="B24">
            <v>33</v>
          </cell>
          <cell r="F24">
            <v>0.5359311596227484</v>
          </cell>
          <cell r="I24">
            <v>0.12186215627849287</v>
          </cell>
          <cell r="K24">
            <v>0.41406900334425556</v>
          </cell>
        </row>
        <row r="25">
          <cell r="B25">
            <v>3</v>
          </cell>
          <cell r="F25">
            <v>4.8124038182113154</v>
          </cell>
          <cell r="I25">
            <v>3.275387054812712</v>
          </cell>
          <cell r="K25">
            <v>1.5370167633986034</v>
          </cell>
        </row>
        <row r="26">
          <cell r="B26">
            <v>11</v>
          </cell>
          <cell r="F26">
            <v>10.406286167821154</v>
          </cell>
          <cell r="I26">
            <v>4.3866259171353148</v>
          </cell>
          <cell r="K26">
            <v>6.0196602506858392</v>
          </cell>
        </row>
        <row r="27">
          <cell r="B27">
            <v>12</v>
          </cell>
          <cell r="F27">
            <v>1.1451089915873975</v>
          </cell>
          <cell r="I27">
            <v>1.7806909817469216</v>
          </cell>
          <cell r="K27">
            <v>-0.6355819901595241</v>
          </cell>
        </row>
        <row r="28">
          <cell r="B28">
            <v>15</v>
          </cell>
          <cell r="F28">
            <v>1.6022410264600848</v>
          </cell>
          <cell r="I28">
            <v>0.57162170381080135</v>
          </cell>
          <cell r="K28">
            <v>1.0306193226492835</v>
          </cell>
        </row>
        <row r="29">
          <cell r="B29">
            <v>16</v>
          </cell>
          <cell r="F29">
            <v>4.3576509735365505</v>
          </cell>
          <cell r="I29">
            <v>1.1065601811645216</v>
          </cell>
          <cell r="K29">
            <v>3.2510907923720289</v>
          </cell>
        </row>
        <row r="30">
          <cell r="B30">
            <v>19</v>
          </cell>
          <cell r="F30">
            <v>7.7267176227520116</v>
          </cell>
          <cell r="I30">
            <v>3.9158227690398952</v>
          </cell>
          <cell r="K30">
            <v>3.8108948537121163</v>
          </cell>
        </row>
        <row r="31">
          <cell r="B31">
            <v>21</v>
          </cell>
          <cell r="F31">
            <v>0.5063946886758468</v>
          </cell>
          <cell r="I31">
            <v>0.23164666198117714</v>
          </cell>
          <cell r="K31">
            <v>0.27474802669466969</v>
          </cell>
        </row>
        <row r="32">
          <cell r="B32">
            <v>25</v>
          </cell>
          <cell r="F32">
            <v>0.48289903835319126</v>
          </cell>
          <cell r="I32">
            <v>0.17355699086159018</v>
          </cell>
          <cell r="K32">
            <v>0.3093420474916011</v>
          </cell>
        </row>
        <row r="33">
          <cell r="B33">
            <v>13</v>
          </cell>
          <cell r="F33">
            <v>6.1764660147455208</v>
          </cell>
          <cell r="I33">
            <v>1.4567806647839292</v>
          </cell>
          <cell r="K33">
            <v>4.7196853499615914</v>
          </cell>
        </row>
        <row r="34">
          <cell r="B34">
            <v>15</v>
          </cell>
          <cell r="F34">
            <v>10.232091780661424</v>
          </cell>
          <cell r="I34">
            <v>3.4791051912749102</v>
          </cell>
          <cell r="K34">
            <v>6.7529865893865137</v>
          </cell>
        </row>
        <row r="35">
          <cell r="B35">
            <v>20</v>
          </cell>
          <cell r="F35">
            <v>1.0270853497839987</v>
          </cell>
          <cell r="I35">
            <v>0.31550192338020228</v>
          </cell>
          <cell r="K35">
            <v>0.71158342640379635</v>
          </cell>
        </row>
        <row r="36">
          <cell r="B36">
            <v>22</v>
          </cell>
          <cell r="F36">
            <v>1.6996881659087191</v>
          </cell>
          <cell r="I36">
            <v>0.71370414317334097</v>
          </cell>
          <cell r="K36">
            <v>0.98598402273537811</v>
          </cell>
        </row>
        <row r="37">
          <cell r="B37">
            <v>23</v>
          </cell>
          <cell r="F37">
            <v>2.5409270625456672</v>
          </cell>
          <cell r="I37">
            <v>1.5879011598193686</v>
          </cell>
          <cell r="K37">
            <v>0.95302590272629861</v>
          </cell>
        </row>
        <row r="38">
          <cell r="B38">
            <v>24</v>
          </cell>
          <cell r="F38">
            <v>1.7582974601039849</v>
          </cell>
          <cell r="I38">
            <v>0.47894712540327833</v>
          </cell>
          <cell r="K38">
            <v>1.2793503347007067</v>
          </cell>
        </row>
        <row r="39">
          <cell r="B39">
            <v>25</v>
          </cell>
          <cell r="F39">
            <v>4.8979826110380931E-2</v>
          </cell>
          <cell r="I39">
            <v>8.0258152572207461E-2</v>
          </cell>
          <cell r="K39">
            <v>-3.1278326461826531E-2</v>
          </cell>
        </row>
        <row r="40">
          <cell r="B40">
            <v>26</v>
          </cell>
          <cell r="F40">
            <v>7.4496848052772311</v>
          </cell>
          <cell r="I40">
            <v>3.25664789285387</v>
          </cell>
          <cell r="K40">
            <v>4.1930369124233611</v>
          </cell>
        </row>
        <row r="41">
          <cell r="B41">
            <v>27</v>
          </cell>
          <cell r="F41">
            <v>1.8860824755366505</v>
          </cell>
          <cell r="I41">
            <v>0.69013033029713566</v>
          </cell>
          <cell r="K41">
            <v>1.1959521452395148</v>
          </cell>
        </row>
        <row r="42">
          <cell r="B42">
            <v>28</v>
          </cell>
          <cell r="F42">
            <v>1.9326732771441788</v>
          </cell>
          <cell r="I42">
            <v>0.41685745794422085</v>
          </cell>
          <cell r="K42">
            <v>1.515815819199958</v>
          </cell>
        </row>
        <row r="43">
          <cell r="B43">
            <v>29</v>
          </cell>
          <cell r="F43">
            <v>5.8913561114265969</v>
          </cell>
          <cell r="I43">
            <v>1.3257781992270272</v>
          </cell>
          <cell r="K43">
            <v>4.5655779121995694</v>
          </cell>
        </row>
        <row r="44">
          <cell r="B44">
            <v>36</v>
          </cell>
          <cell r="F44">
            <v>3.3568040118674594</v>
          </cell>
          <cell r="I44">
            <v>1.9006682609752454</v>
          </cell>
          <cell r="K44">
            <v>1.4561357508922139</v>
          </cell>
        </row>
        <row r="45">
          <cell r="B45">
            <v>37</v>
          </cell>
          <cell r="F45">
            <v>3.5207372067153884</v>
          </cell>
          <cell r="I45">
            <v>2.122982020190519</v>
          </cell>
          <cell r="K45">
            <v>1.3977551865248694</v>
          </cell>
        </row>
        <row r="46">
          <cell r="B46">
            <v>1</v>
          </cell>
          <cell r="F46">
            <v>9.9981223673199899</v>
          </cell>
          <cell r="I46">
            <v>2.6914369017429767</v>
          </cell>
          <cell r="K46">
            <v>7.3066854655770133</v>
          </cell>
        </row>
        <row r="47">
          <cell r="B47">
            <v>2</v>
          </cell>
          <cell r="F47">
            <v>10.508033797070535</v>
          </cell>
          <cell r="I47">
            <v>7.4690001516186442</v>
          </cell>
          <cell r="K47">
            <v>3.0390336454518909</v>
          </cell>
        </row>
        <row r="48">
          <cell r="B48">
            <v>30</v>
          </cell>
          <cell r="F48">
            <v>20.417748888723601</v>
          </cell>
          <cell r="I48">
            <v>6.7502137188352922</v>
          </cell>
          <cell r="K48">
            <v>13.667535169888309</v>
          </cell>
        </row>
      </sheetData>
      <sheetData sheetId="14"/>
      <sheetData sheetId="15"/>
      <sheetData sheetId="16">
        <row r="3">
          <cell r="F3" t="str">
            <v>Pérdidas aparantes  (Mm3/año)</v>
          </cell>
          <cell r="G3" t="str">
            <v>Pérdidas ténicas (Mm3/año)</v>
          </cell>
          <cell r="J3" t="str">
            <v>Pérdidas por km dia (m³/dia/km)</v>
          </cell>
          <cell r="L3" t="str">
            <v>AMSI (m3/día/km/mca)</v>
          </cell>
        </row>
        <row r="4">
          <cell r="E4" t="str">
            <v>1 - 5</v>
          </cell>
          <cell r="F4">
            <v>3.4748461607514685</v>
          </cell>
          <cell r="G4">
            <v>4.2835687074257187</v>
          </cell>
          <cell r="J4">
            <v>20.877784664639492</v>
          </cell>
          <cell r="L4">
            <v>0.73742633907212896</v>
          </cell>
        </row>
        <row r="5">
          <cell r="E5" t="str">
            <v>1 - 6</v>
          </cell>
          <cell r="F5">
            <v>3.551092270937569</v>
          </cell>
          <cell r="G5">
            <v>2.0733086804869485</v>
          </cell>
          <cell r="J5">
            <v>20.877784664639488</v>
          </cell>
          <cell r="L5">
            <v>0.73686298816374662</v>
          </cell>
        </row>
        <row r="6">
          <cell r="E6" t="str">
            <v>1 - 7</v>
          </cell>
          <cell r="F6">
            <v>4.136469639283356</v>
          </cell>
          <cell r="G6">
            <v>2.8918903482633267</v>
          </cell>
          <cell r="J6">
            <v>21.863113103509626</v>
          </cell>
          <cell r="L6">
            <v>0.77999337857120943</v>
          </cell>
        </row>
        <row r="7">
          <cell r="E7" t="str">
            <v>1 - 8</v>
          </cell>
          <cell r="F7">
            <v>1.9161219385088213</v>
          </cell>
          <cell r="G7">
            <v>1.1032750305516181</v>
          </cell>
          <cell r="J7">
            <v>20.877784664639488</v>
          </cell>
          <cell r="L7">
            <v>0.76219053901640965</v>
          </cell>
        </row>
        <row r="8">
          <cell r="E8" t="str">
            <v>1 - 9</v>
          </cell>
          <cell r="F8">
            <v>2.0528445973978622</v>
          </cell>
          <cell r="G8">
            <v>1.1419619265575094</v>
          </cell>
          <cell r="J8">
            <v>10.313415166446219</v>
          </cell>
          <cell r="L8">
            <v>0.3321891185772467</v>
          </cell>
        </row>
        <row r="9">
          <cell r="E9" t="str">
            <v>1 - 18</v>
          </cell>
          <cell r="F9">
            <v>1.4480637017992204</v>
          </cell>
          <cell r="G9">
            <v>0.59929132715060396</v>
          </cell>
          <cell r="J9">
            <v>60.913651447925268</v>
          </cell>
          <cell r="L9">
            <v>2.0304550482641757</v>
          </cell>
        </row>
        <row r="10">
          <cell r="E10" t="str">
            <v>1 - 31</v>
          </cell>
          <cell r="F10">
            <v>0.43587041265894344</v>
          </cell>
          <cell r="G10">
            <v>0.6157342814641269</v>
          </cell>
          <cell r="J10">
            <v>20.877784664639488</v>
          </cell>
          <cell r="L10">
            <v>0.49019344997019071</v>
          </cell>
        </row>
        <row r="11">
          <cell r="E11" t="str">
            <v>1 - 32</v>
          </cell>
          <cell r="F11">
            <v>-0.22194045412431179</v>
          </cell>
          <cell r="G11">
            <v>0.1094321866399821</v>
          </cell>
          <cell r="J11">
            <v>20.877784664639492</v>
          </cell>
          <cell r="L11">
            <v>0.54843135835470902</v>
          </cell>
        </row>
        <row r="12">
          <cell r="E12" t="str">
            <v>1 - 35</v>
          </cell>
          <cell r="F12">
            <v>0.54831881867576671</v>
          </cell>
          <cell r="G12">
            <v>0.64928840314944181</v>
          </cell>
          <cell r="J12">
            <v>20.877784664639488</v>
          </cell>
          <cell r="L12">
            <v>0.78838184452809601</v>
          </cell>
        </row>
        <row r="13">
          <cell r="E13"/>
          <cell r="F13"/>
          <cell r="G13"/>
          <cell r="J13"/>
          <cell r="L13"/>
        </row>
        <row r="14">
          <cell r="E14"/>
          <cell r="F14"/>
          <cell r="G14"/>
          <cell r="J14"/>
          <cell r="L14"/>
        </row>
        <row r="15">
          <cell r="E15"/>
          <cell r="F15"/>
          <cell r="G15"/>
          <cell r="J15"/>
          <cell r="L15"/>
        </row>
        <row r="16">
          <cell r="E16" t="str">
            <v>2 - 4</v>
          </cell>
          <cell r="F16">
            <v>7.5174310716401367</v>
          </cell>
          <cell r="G16">
            <v>7.4948522913660964</v>
          </cell>
          <cell r="J16">
            <v>27.76983738799327</v>
          </cell>
          <cell r="L16">
            <v>1.1510429549976977</v>
          </cell>
        </row>
        <row r="17">
          <cell r="E17" t="str">
            <v>2 - 10</v>
          </cell>
          <cell r="F17">
            <v>1.5237967547895384</v>
          </cell>
          <cell r="G17">
            <v>1.9738679412639701</v>
          </cell>
          <cell r="J17">
            <v>33.482850889286212</v>
          </cell>
          <cell r="L17">
            <v>1.4726911030928651</v>
          </cell>
        </row>
        <row r="18">
          <cell r="E18" t="str">
            <v>2 - 14</v>
          </cell>
          <cell r="F18">
            <v>0.42200402341160875</v>
          </cell>
          <cell r="G18">
            <v>0.29561841728819543</v>
          </cell>
          <cell r="J18">
            <v>7.3591425760171401</v>
          </cell>
          <cell r="L18">
            <v>0.32140204288846308</v>
          </cell>
        </row>
        <row r="19">
          <cell r="E19" t="str">
            <v>2 - 16</v>
          </cell>
          <cell r="F19">
            <v>0.17493878279145614</v>
          </cell>
          <cell r="G19">
            <v>0.68534846280977435</v>
          </cell>
          <cell r="J19">
            <v>23.749251153208153</v>
          </cell>
          <cell r="L19">
            <v>0.94380007232219587</v>
          </cell>
        </row>
        <row r="20">
          <cell r="E20" t="str">
            <v>2 - 17</v>
          </cell>
          <cell r="F20">
            <v>2.4981462167637147</v>
          </cell>
          <cell r="G20">
            <v>4.6684598304067322</v>
          </cell>
          <cell r="J20">
            <v>26.385173759536013</v>
          </cell>
          <cell r="L20">
            <v>1.1306775916240686</v>
          </cell>
        </row>
        <row r="21">
          <cell r="E21" t="str">
            <v>2 - 18</v>
          </cell>
          <cell r="F21">
            <v>-0.18751320859760456</v>
          </cell>
          <cell r="G21">
            <v>0.55911741030534134</v>
          </cell>
          <cell r="J21">
            <v>23.74925115320816</v>
          </cell>
          <cell r="L21">
            <v>1.1642318208644584</v>
          </cell>
        </row>
        <row r="22">
          <cell r="E22" t="str">
            <v>2 - 19</v>
          </cell>
          <cell r="F22">
            <v>3.9560608928318546</v>
          </cell>
          <cell r="G22">
            <v>0.65749963250671495</v>
          </cell>
          <cell r="J22">
            <v>23.74925115320816</v>
          </cell>
          <cell r="L22">
            <v>0.67614012514345934</v>
          </cell>
        </row>
        <row r="23">
          <cell r="E23" t="str">
            <v>2 - 33</v>
          </cell>
          <cell r="F23">
            <v>0.41406900334425556</v>
          </cell>
          <cell r="G23">
            <v>0.12186215627849287</v>
          </cell>
          <cell r="J23">
            <v>23.74925115320816</v>
          </cell>
          <cell r="L23">
            <v>0.83713347351801493</v>
          </cell>
        </row>
        <row r="24">
          <cell r="E24" t="str">
            <v>3 - 3</v>
          </cell>
          <cell r="F24">
            <v>1.5370167633986034</v>
          </cell>
          <cell r="G24">
            <v>3.275387054812712</v>
          </cell>
          <cell r="J24">
            <v>25.830897891972906</v>
          </cell>
          <cell r="L24">
            <v>1.0119542119488407</v>
          </cell>
        </row>
        <row r="25">
          <cell r="E25" t="str">
            <v>3 - 11</v>
          </cell>
          <cell r="F25">
            <v>6.0196602506858392</v>
          </cell>
          <cell r="G25">
            <v>4.3866259171353148</v>
          </cell>
          <cell r="J25">
            <v>15.958599202728841</v>
          </cell>
          <cell r="L25">
            <v>0.70180148259197062</v>
          </cell>
        </row>
        <row r="26">
          <cell r="E26" t="str">
            <v>3 - 12</v>
          </cell>
          <cell r="F26">
            <v>-0.6355819901595241</v>
          </cell>
          <cell r="G26">
            <v>1.7806909817469216</v>
          </cell>
          <cell r="J26">
            <v>25.830897891972914</v>
          </cell>
          <cell r="L26">
            <v>1.0679325537053022</v>
          </cell>
        </row>
        <row r="27">
          <cell r="E27" t="str">
            <v>3 - 15</v>
          </cell>
          <cell r="F27">
            <v>1.0306193226492835</v>
          </cell>
          <cell r="G27">
            <v>0.57162170381080135</v>
          </cell>
          <cell r="J27">
            <v>25.830897891972906</v>
          </cell>
          <cell r="L27">
            <v>0.78372063856048979</v>
          </cell>
        </row>
        <row r="28">
          <cell r="E28" t="str">
            <v>3 - 16</v>
          </cell>
          <cell r="F28">
            <v>3.2510907923720289</v>
          </cell>
          <cell r="G28">
            <v>1.1065601811645216</v>
          </cell>
          <cell r="J28">
            <v>11.760256408252042</v>
          </cell>
          <cell r="L28">
            <v>0.39200854694173476</v>
          </cell>
        </row>
        <row r="29">
          <cell r="E29" t="str">
            <v>3 - 19</v>
          </cell>
          <cell r="F29">
            <v>3.8108948537121163</v>
          </cell>
          <cell r="G29">
            <v>3.9158227690398952</v>
          </cell>
          <cell r="J29">
            <v>40.429878131943809</v>
          </cell>
          <cell r="L29">
            <v>1.347662604398127</v>
          </cell>
        </row>
        <row r="30">
          <cell r="E30" t="str">
            <v>3 - 21</v>
          </cell>
          <cell r="F30">
            <v>0.27474802669466969</v>
          </cell>
          <cell r="G30">
            <v>0.23164666198117714</v>
          </cell>
          <cell r="J30">
            <v>25.830897891972906</v>
          </cell>
          <cell r="L30">
            <v>0.66935188883793162</v>
          </cell>
        </row>
        <row r="31">
          <cell r="E31" t="str">
            <v>3 - 25</v>
          </cell>
          <cell r="F31">
            <v>0.3093420474916011</v>
          </cell>
          <cell r="G31">
            <v>0.17355699086159018</v>
          </cell>
          <cell r="J31">
            <v>35.174857824966949</v>
          </cell>
          <cell r="L31">
            <v>0.87588780096125973</v>
          </cell>
        </row>
        <row r="32">
          <cell r="E32" t="str">
            <v>4 - 13</v>
          </cell>
          <cell r="F32">
            <v>4.7196853499615914</v>
          </cell>
          <cell r="G32">
            <v>1.4567806647839292</v>
          </cell>
          <cell r="J32">
            <v>15.217692960254229</v>
          </cell>
          <cell r="L32">
            <v>0.55367309239659079</v>
          </cell>
        </row>
        <row r="33">
          <cell r="E33" t="str">
            <v>4 - 15</v>
          </cell>
          <cell r="F33">
            <v>6.7529865893865137</v>
          </cell>
          <cell r="G33">
            <v>3.4791051912749102</v>
          </cell>
          <cell r="J33">
            <v>26.089350205582789</v>
          </cell>
          <cell r="L33">
            <v>0.86964500685275969</v>
          </cell>
        </row>
        <row r="34">
          <cell r="E34" t="str">
            <v>4 - 20</v>
          </cell>
          <cell r="F34">
            <v>0.71158342640379635</v>
          </cell>
          <cell r="G34">
            <v>0.31550192338020228</v>
          </cell>
          <cell r="J34">
            <v>8.6015582475076968</v>
          </cell>
          <cell r="L34">
            <v>0.28948061393965557</v>
          </cell>
        </row>
        <row r="35">
          <cell r="E35" t="str">
            <v>4 - 22</v>
          </cell>
          <cell r="F35">
            <v>0.98598402273537811</v>
          </cell>
          <cell r="G35">
            <v>0.71370414317334097</v>
          </cell>
          <cell r="J35">
            <v>20.73875935244082</v>
          </cell>
          <cell r="L35">
            <v>0.66884653118631177</v>
          </cell>
        </row>
        <row r="36">
          <cell r="E36" t="str">
            <v>4 - 23</v>
          </cell>
          <cell r="F36">
            <v>0.95302590272629861</v>
          </cell>
          <cell r="G36">
            <v>1.5879011598193686</v>
          </cell>
          <cell r="J36">
            <v>59.799390262128412</v>
          </cell>
          <cell r="L36">
            <v>2.1738765090829593</v>
          </cell>
        </row>
        <row r="37">
          <cell r="E37" t="str">
            <v>4 - 24</v>
          </cell>
          <cell r="F37">
            <v>1.2793503347007067</v>
          </cell>
          <cell r="G37">
            <v>0.47894712540327833</v>
          </cell>
          <cell r="J37">
            <v>26.089350205582797</v>
          </cell>
          <cell r="L37">
            <v>0.80426712173266235</v>
          </cell>
        </row>
        <row r="38">
          <cell r="E38" t="str">
            <v>4 - 25</v>
          </cell>
          <cell r="F38">
            <v>-3.1278326461826531E-2</v>
          </cell>
          <cell r="G38">
            <v>8.0258152572207461E-2</v>
          </cell>
          <cell r="J38">
            <v>26.089350205582786</v>
          </cell>
          <cell r="L38">
            <v>0.86964500685275958</v>
          </cell>
        </row>
        <row r="39">
          <cell r="E39" t="str">
            <v>4 - 26</v>
          </cell>
          <cell r="F39">
            <v>4.1930369124233611</v>
          </cell>
          <cell r="G39">
            <v>3.25664789285387</v>
          </cell>
          <cell r="J39">
            <v>26.089350205582789</v>
          </cell>
          <cell r="L39">
            <v>0.79950287025475364</v>
          </cell>
        </row>
        <row r="40">
          <cell r="E40" t="str">
            <v>4 - 27</v>
          </cell>
          <cell r="F40">
            <v>1.1959521452395148</v>
          </cell>
          <cell r="G40">
            <v>0.69013033029713566</v>
          </cell>
          <cell r="J40">
            <v>26.089350205582797</v>
          </cell>
          <cell r="L40">
            <v>0.70228962554624352</v>
          </cell>
        </row>
        <row r="41">
          <cell r="E41" t="str">
            <v>4 - 28</v>
          </cell>
          <cell r="F41">
            <v>1.515815819199958</v>
          </cell>
          <cell r="G41">
            <v>0.41685745794422085</v>
          </cell>
          <cell r="J41">
            <v>26.089350205582789</v>
          </cell>
          <cell r="L41">
            <v>0.96119578456725652</v>
          </cell>
        </row>
        <row r="42">
          <cell r="E42" t="str">
            <v>4 - 29</v>
          </cell>
          <cell r="F42">
            <v>4.5655779121995694</v>
          </cell>
          <cell r="G42">
            <v>1.3257781992270272</v>
          </cell>
          <cell r="J42">
            <v>26.089350205582797</v>
          </cell>
          <cell r="L42">
            <v>0.91146439962335768</v>
          </cell>
        </row>
        <row r="43">
          <cell r="E43" t="str">
            <v>4 - 36</v>
          </cell>
          <cell r="F43">
            <v>1.4561357508922139</v>
          </cell>
          <cell r="G43">
            <v>1.9006682609752454</v>
          </cell>
          <cell r="J43">
            <v>26.089350205582797</v>
          </cell>
          <cell r="L43">
            <v>0.88635286801980318</v>
          </cell>
        </row>
        <row r="44">
          <cell r="E44" t="str">
            <v>4 - 37</v>
          </cell>
          <cell r="F44">
            <v>1.3977551865248694</v>
          </cell>
          <cell r="G44">
            <v>2.122982020190519</v>
          </cell>
          <cell r="J44">
            <v>26.089350205582789</v>
          </cell>
          <cell r="L44">
            <v>0.96288968805904307</v>
          </cell>
        </row>
        <row r="45">
          <cell r="E45" t="str">
            <v>5 - 1</v>
          </cell>
          <cell r="F45">
            <v>7.3066854655770133</v>
          </cell>
          <cell r="G45">
            <v>2.6914369017429767</v>
          </cell>
          <cell r="J45">
            <v>14.080635914549214</v>
          </cell>
          <cell r="L45">
            <v>0.54064084779275912</v>
          </cell>
        </row>
        <row r="46">
          <cell r="E46" t="str">
            <v>5 - 2</v>
          </cell>
          <cell r="F46">
            <v>3.0390336454518909</v>
          </cell>
          <cell r="G46">
            <v>7.4690001516186442</v>
          </cell>
          <cell r="J46">
            <v>30.08926808254548</v>
          </cell>
          <cell r="L46">
            <v>1.1760688065937799</v>
          </cell>
        </row>
        <row r="47">
          <cell r="E47" t="str">
            <v>5 - 30</v>
          </cell>
          <cell r="F47">
            <v>13.667535169888309</v>
          </cell>
          <cell r="G47">
            <v>6.7502137188352922</v>
          </cell>
          <cell r="J47">
            <v>46.097900250541748</v>
          </cell>
          <cell r="L47">
            <v>1.4254243726229574</v>
          </cell>
        </row>
      </sheetData>
      <sheetData sheetId="17"/>
      <sheetData sheetId="18">
        <row r="6">
          <cell r="F6">
            <v>31278943.606970001</v>
          </cell>
        </row>
        <row r="7">
          <cell r="F7">
            <v>19549234.3358</v>
          </cell>
        </row>
        <row r="8">
          <cell r="F8">
            <v>24550816.412519999</v>
          </cell>
        </row>
        <row r="9">
          <cell r="F9">
            <v>10095389.304570001</v>
          </cell>
        </row>
        <row r="10">
          <cell r="F10">
            <v>11561509.227967499</v>
          </cell>
        </row>
        <row r="11">
          <cell r="F11">
            <v>3439801.8352600001</v>
          </cell>
        </row>
        <row r="12">
          <cell r="F12">
            <v>4104894.2648525503</v>
          </cell>
        </row>
        <row r="13">
          <cell r="F13">
            <v>116267.8</v>
          </cell>
        </row>
        <row r="14">
          <cell r="F14">
            <v>5377570.7140000006</v>
          </cell>
        </row>
        <row r="15">
          <cell r="F15"/>
        </row>
        <row r="16">
          <cell r="F16"/>
        </row>
        <row r="17">
          <cell r="F17"/>
        </row>
        <row r="18">
          <cell r="F18">
            <v>40905907.931199998</v>
          </cell>
        </row>
        <row r="19">
          <cell r="F19">
            <v>8375865.9968999997</v>
          </cell>
        </row>
        <row r="20">
          <cell r="F20">
            <v>3082742.7278</v>
          </cell>
        </row>
        <row r="21">
          <cell r="F21">
            <v>2846571.7519999999</v>
          </cell>
        </row>
        <row r="22">
          <cell r="F22">
            <v>19395596.239</v>
          </cell>
        </row>
        <row r="23">
          <cell r="F23">
            <v>3211583.7569999998</v>
          </cell>
        </row>
        <row r="24">
          <cell r="F24">
            <v>8718722.4985000025</v>
          </cell>
        </row>
        <row r="25">
          <cell r="F25">
            <v>1043332.3372</v>
          </cell>
        </row>
        <row r="26">
          <cell r="F26">
            <v>18425066.125999998</v>
          </cell>
        </row>
        <row r="27">
          <cell r="F27">
            <v>32509807.492999997</v>
          </cell>
        </row>
        <row r="28">
          <cell r="F28">
            <v>9973992.5369000006</v>
          </cell>
        </row>
        <row r="29">
          <cell r="F29">
            <v>2836426.9988375991</v>
          </cell>
        </row>
        <row r="30">
          <cell r="F30">
            <v>10011633.685199998</v>
          </cell>
        </row>
        <row r="31">
          <cell r="F31">
            <v>15498071.110000001</v>
          </cell>
        </row>
        <row r="32">
          <cell r="F32">
            <v>882559.54905999987</v>
          </cell>
        </row>
        <row r="33">
          <cell r="F33">
            <v>756683.64206999994</v>
          </cell>
        </row>
        <row r="34">
          <cell r="F34">
            <v>13766046.918</v>
          </cell>
        </row>
        <row r="35">
          <cell r="F35">
            <v>21803708.842999998</v>
          </cell>
        </row>
        <row r="36">
          <cell r="F36">
            <v>3259223.3409999995</v>
          </cell>
        </row>
        <row r="37">
          <cell r="F37">
            <v>3579378.483</v>
          </cell>
        </row>
        <row r="38">
          <cell r="F38">
            <v>3868311.5660000006</v>
          </cell>
        </row>
        <row r="39">
          <cell r="F39">
            <v>2871949.3499999996</v>
          </cell>
        </row>
        <row r="40">
          <cell r="F40">
            <v>239668.88300000003</v>
          </cell>
        </row>
        <row r="41">
          <cell r="F41">
            <v>16444699.526000002</v>
          </cell>
        </row>
        <row r="42">
          <cell r="F42">
            <v>4011415.0249999994</v>
          </cell>
        </row>
        <row r="43">
          <cell r="F43">
            <v>3049813.6409999998</v>
          </cell>
        </row>
        <row r="44">
          <cell r="F44">
            <v>8813050.6070000008</v>
          </cell>
        </row>
        <row r="45">
          <cell r="F45">
            <v>8828228.9930000007</v>
          </cell>
        </row>
        <row r="46">
          <cell r="F46">
            <v>12982799.591</v>
          </cell>
        </row>
        <row r="47">
          <cell r="F47">
            <v>30692629.106000002</v>
          </cell>
        </row>
        <row r="48">
          <cell r="F48">
            <v>38710040.148000009</v>
          </cell>
        </row>
        <row r="49">
          <cell r="F49">
            <v>39199303.691000007</v>
          </cell>
        </row>
      </sheetData>
      <sheetData sheetId="19"/>
      <sheetData sheetId="20">
        <row r="7">
          <cell r="E7">
            <v>20476825.7881479</v>
          </cell>
        </row>
        <row r="8">
          <cell r="E8">
            <v>11869702.4500595</v>
          </cell>
        </row>
        <row r="9">
          <cell r="E9">
            <v>13707470.453532699</v>
          </cell>
        </row>
        <row r="10">
          <cell r="E10">
            <v>4092330.7227141</v>
          </cell>
        </row>
        <row r="11">
          <cell r="E11">
            <v>6213593.0435815603</v>
          </cell>
        </row>
        <row r="12">
          <cell r="E12">
            <v>885316.51916498202</v>
          </cell>
        </row>
        <row r="13">
          <cell r="E13">
            <v>2547743.35151345</v>
          </cell>
        </row>
        <row r="14">
          <cell r="E14">
            <v>131662.774937482</v>
          </cell>
        </row>
        <row r="15">
          <cell r="E15">
            <v>3442875.7098468798</v>
          </cell>
        </row>
        <row r="16">
          <cell r="E16"/>
        </row>
        <row r="17">
          <cell r="E17"/>
        </row>
        <row r="18">
          <cell r="E18"/>
        </row>
        <row r="19">
          <cell r="E19">
            <v>19034570.072010301</v>
          </cell>
        </row>
        <row r="20">
          <cell r="E20">
            <v>3054181.6797195901</v>
          </cell>
        </row>
        <row r="21">
          <cell r="E21">
            <v>1788306.1537526399</v>
          </cell>
        </row>
        <row r="22">
          <cell r="E22">
            <v>970818.22468868096</v>
          </cell>
        </row>
        <row r="23">
          <cell r="E23">
            <v>7007450.5606030803</v>
          </cell>
        </row>
        <row r="24">
          <cell r="E24">
            <v>1321770.4963893001</v>
          </cell>
        </row>
        <row r="25">
          <cell r="E25">
            <v>2029337.2352658899</v>
          </cell>
        </row>
        <row r="26">
          <cell r="E26">
            <v>310295.95442537399</v>
          </cell>
        </row>
        <row r="27">
          <cell r="E27">
            <v>9713498.5561350901</v>
          </cell>
        </row>
        <row r="28">
          <cell r="E28">
            <v>11295031.317557599</v>
          </cell>
        </row>
        <row r="29">
          <cell r="E29">
            <v>5011723.8824932501</v>
          </cell>
        </row>
        <row r="30">
          <cell r="E30">
            <v>675090.46882524795</v>
          </cell>
        </row>
        <row r="31">
          <cell r="E31">
            <v>2464651.94218652</v>
          </cell>
        </row>
        <row r="32">
          <cell r="E32">
            <v>3774532.6261541699</v>
          </cell>
        </row>
        <row r="33">
          <cell r="E33">
            <v>261875.43946550801</v>
          </cell>
        </row>
        <row r="34">
          <cell r="E34">
            <v>182027.15301061899</v>
          </cell>
        </row>
        <row r="35">
          <cell r="E35">
            <v>5226718.24188333</v>
          </cell>
        </row>
        <row r="36">
          <cell r="E36">
            <v>8649320.7351072002</v>
          </cell>
        </row>
        <row r="37">
          <cell r="E37">
            <v>1823561.1083565899</v>
          </cell>
        </row>
        <row r="38">
          <cell r="E38">
            <v>1514704.2781178399</v>
          </cell>
        </row>
        <row r="39">
          <cell r="E39">
            <v>1053440.5403680601</v>
          </cell>
        </row>
        <row r="40">
          <cell r="E40">
            <v>792129.52132381999</v>
          </cell>
        </row>
        <row r="41">
          <cell r="E41">
            <v>92383.563123322805</v>
          </cell>
        </row>
        <row r="42">
          <cell r="E42">
            <v>7376194.9573068498</v>
          </cell>
        </row>
        <row r="43">
          <cell r="E43">
            <v>1565963.9056092401</v>
          </cell>
        </row>
        <row r="44">
          <cell r="E44">
            <v>862427.06607912504</v>
          </cell>
        </row>
        <row r="45">
          <cell r="E45">
            <v>1919888.66467333</v>
          </cell>
        </row>
        <row r="46">
          <cell r="E46">
            <v>4550189.8269781796</v>
          </cell>
        </row>
        <row r="47">
          <cell r="E47">
            <v>6969424.20316617</v>
          </cell>
        </row>
        <row r="48">
          <cell r="E48">
            <v>17742004.768357899</v>
          </cell>
        </row>
        <row r="49">
          <cell r="E49">
            <v>22421979.183914799</v>
          </cell>
        </row>
        <row r="50">
          <cell r="E50">
            <v>14032170.5683314</v>
          </cell>
        </row>
      </sheetData>
      <sheetData sheetId="21"/>
      <sheetData sheetId="22"/>
      <sheetData sheetId="23">
        <row r="7">
          <cell r="E7">
            <v>1434386.06752712</v>
          </cell>
        </row>
        <row r="8">
          <cell r="E8">
            <v>889264.82556509494</v>
          </cell>
        </row>
        <row r="9">
          <cell r="E9">
            <v>1743120.8188296999</v>
          </cell>
        </row>
        <row r="10">
          <cell r="E10">
            <v>1476538.05541356</v>
          </cell>
        </row>
        <row r="11">
          <cell r="E11">
            <v>1113911.98486955</v>
          </cell>
        </row>
        <row r="12">
          <cell r="E12">
            <v>190162.77877128799</v>
          </cell>
        </row>
        <row r="13">
          <cell r="E13">
            <v>133595.91240126599</v>
          </cell>
        </row>
        <row r="14">
          <cell r="E14">
            <v>13110.902804212799</v>
          </cell>
        </row>
        <row r="15">
          <cell r="E15">
            <v>341972.80824764603</v>
          </cell>
        </row>
        <row r="16">
          <cell r="E16"/>
        </row>
        <row r="17">
          <cell r="E17"/>
        </row>
        <row r="18">
          <cell r="E18"/>
        </row>
        <row r="19">
          <cell r="E19">
            <v>2519970.8602958298</v>
          </cell>
        </row>
        <row r="20">
          <cell r="E20">
            <v>822397.70989940304</v>
          </cell>
        </row>
        <row r="21">
          <cell r="E21">
            <v>196874.02280978899</v>
          </cell>
        </row>
        <row r="22">
          <cell r="E22">
            <v>660630.96364368906</v>
          </cell>
        </row>
        <row r="23">
          <cell r="E23">
            <v>2717985.9882826698</v>
          </cell>
        </row>
        <row r="24">
          <cell r="E24">
            <v>893297.20348162297</v>
          </cell>
        </row>
        <row r="25">
          <cell r="E25">
            <v>715592.799778632</v>
          </cell>
        </row>
        <row r="26">
          <cell r="E26">
            <v>25589.184948930601</v>
          </cell>
        </row>
        <row r="27">
          <cell r="E27">
            <v>1582221.2197650201</v>
          </cell>
        </row>
        <row r="28">
          <cell r="E28">
            <v>3745522.57572588</v>
          </cell>
        </row>
        <row r="29">
          <cell r="E29">
            <v>1087237.39672367</v>
          </cell>
        </row>
        <row r="30">
          <cell r="E30">
            <v>120466.97151814</v>
          </cell>
        </row>
        <row r="31">
          <cell r="E31">
            <v>1722292.5042183499</v>
          </cell>
        </row>
        <row r="32">
          <cell r="E32">
            <v>1988283.0021913201</v>
          </cell>
        </row>
        <row r="33">
          <cell r="E33">
            <v>20125.008479366799</v>
          </cell>
        </row>
        <row r="34">
          <cell r="E34">
            <v>21829.359383832601</v>
          </cell>
        </row>
        <row r="35">
          <cell r="E35">
            <v>1403036.0021680701</v>
          </cell>
        </row>
        <row r="36">
          <cell r="E36">
            <v>745779.963717115</v>
          </cell>
        </row>
        <row r="37">
          <cell r="E37">
            <v>164774.866374473</v>
          </cell>
        </row>
        <row r="38">
          <cell r="E38">
            <v>117422.64962128</v>
          </cell>
        </row>
        <row r="39">
          <cell r="E39">
            <v>74466.968234726693</v>
          </cell>
        </row>
        <row r="40">
          <cell r="E40">
            <v>64664.041069201601</v>
          </cell>
        </row>
        <row r="41">
          <cell r="E41">
            <v>7071.4665912945102</v>
          </cell>
        </row>
        <row r="42">
          <cell r="E42">
            <v>677815.12909621606</v>
          </cell>
        </row>
        <row r="43">
          <cell r="E43">
            <v>224194.616649798</v>
          </cell>
        </row>
        <row r="44">
          <cell r="E44">
            <v>65234.369773944301</v>
          </cell>
        </row>
        <row r="45">
          <cell r="E45">
            <v>183764.18235441801</v>
          </cell>
        </row>
        <row r="46">
          <cell r="E46">
            <v>308972.43235201697</v>
          </cell>
        </row>
        <row r="47">
          <cell r="E47">
            <v>919084.84648400603</v>
          </cell>
        </row>
        <row r="48">
          <cell r="E48">
            <v>1264510.62725168</v>
          </cell>
        </row>
        <row r="49">
          <cell r="E49">
            <v>1937065.10739221</v>
          </cell>
        </row>
        <row r="50">
          <cell r="E50">
            <v>858668.66657102504</v>
          </cell>
        </row>
      </sheetData>
      <sheetData sheetId="24">
        <row r="7">
          <cell r="E7">
            <v>423652.19782598398</v>
          </cell>
        </row>
        <row r="8">
          <cell r="E8">
            <v>622419.29105312994</v>
          </cell>
        </row>
        <row r="9">
          <cell r="E9">
            <v>1244450.8893339999</v>
          </cell>
        </row>
        <row r="10">
          <cell r="E10">
            <v>1133199.2598045899</v>
          </cell>
        </row>
        <row r="11">
          <cell r="E11">
            <v>527794.53847471694</v>
          </cell>
        </row>
        <row r="12">
          <cell r="E12">
            <v>217498.80619196701</v>
          </cell>
        </row>
        <row r="13">
          <cell r="E13">
            <v>55921.178081881801</v>
          </cell>
        </row>
        <row r="14">
          <cell r="E14">
            <v>27271.341035551101</v>
          </cell>
        </row>
        <row r="15">
          <cell r="E15">
            <v>152613.64983099501</v>
          </cell>
        </row>
        <row r="16">
          <cell r="E16"/>
        </row>
        <row r="17">
          <cell r="E17"/>
        </row>
        <row r="18">
          <cell r="E18"/>
        </row>
        <row r="19">
          <cell r="E19">
            <v>2834204.3552033198</v>
          </cell>
        </row>
        <row r="20">
          <cell r="E20">
            <v>614453.51130295102</v>
          </cell>
        </row>
        <row r="21">
          <cell r="E21">
            <v>226476.48242430799</v>
          </cell>
        </row>
        <row r="22">
          <cell r="E22">
            <v>154705.84536864699</v>
          </cell>
        </row>
        <row r="23">
          <cell r="E23">
            <v>1360105.5193484901</v>
          </cell>
        </row>
        <row r="24">
          <cell r="E24">
            <v>434531.22111499403</v>
          </cell>
        </row>
        <row r="25">
          <cell r="E25">
            <v>1134110.4861276001</v>
          </cell>
        </row>
        <row r="26">
          <cell r="E26">
            <v>23374.654998787901</v>
          </cell>
        </row>
        <row r="27">
          <cell r="E27">
            <v>1365469.1735141301</v>
          </cell>
        </row>
        <row r="28">
          <cell r="E28">
            <v>5248620.5630823905</v>
          </cell>
        </row>
        <row r="29">
          <cell r="E29">
            <v>1879726.5042517399</v>
          </cell>
        </row>
        <row r="30">
          <cell r="E30">
            <v>256674.38387096699</v>
          </cell>
        </row>
        <row r="31">
          <cell r="E31">
            <v>960728.68888251495</v>
          </cell>
        </row>
        <row r="32">
          <cell r="E32">
            <v>1209612.2590777001</v>
          </cell>
        </row>
        <row r="33">
          <cell r="E33">
            <v>458.39344262294998</v>
          </cell>
        </row>
        <row r="34">
          <cell r="E34"/>
        </row>
        <row r="35">
          <cell r="E35">
            <v>474694.78330928599</v>
          </cell>
        </row>
        <row r="36">
          <cell r="E36">
            <v>313963.86058961798</v>
          </cell>
        </row>
        <row r="37">
          <cell r="E37">
            <v>43497.137863564203</v>
          </cell>
        </row>
        <row r="38">
          <cell r="E38">
            <v>30298.345723119801</v>
          </cell>
        </row>
        <row r="39">
          <cell r="E39">
            <v>6963.31338524286</v>
          </cell>
        </row>
        <row r="40">
          <cell r="E40">
            <v>26101.727363737398</v>
          </cell>
        </row>
        <row r="41">
          <cell r="E41"/>
        </row>
        <row r="42">
          <cell r="E42">
            <v>123325.622691297</v>
          </cell>
        </row>
        <row r="43">
          <cell r="E43">
            <v>101944.220149589</v>
          </cell>
        </row>
        <row r="44">
          <cell r="E44">
            <v>15202.228624397399</v>
          </cell>
        </row>
        <row r="45">
          <cell r="E45">
            <v>68766.969332528897</v>
          </cell>
        </row>
        <row r="46">
          <cell r="E46">
            <v>30149.475176121599</v>
          </cell>
        </row>
        <row r="47">
          <cell r="E47">
            <v>839677.73565945204</v>
          </cell>
        </row>
        <row r="48">
          <cell r="E48">
            <v>270747.34961478499</v>
          </cell>
        </row>
        <row r="49">
          <cell r="E49">
            <v>1764681.1996762501</v>
          </cell>
        </row>
        <row r="50">
          <cell r="E50">
            <v>411374.80609301198</v>
          </cell>
        </row>
      </sheetData>
      <sheetData sheetId="25"/>
      <sheetData sheetId="26"/>
      <sheetData sheetId="27"/>
      <sheetData sheetId="28"/>
      <sheetData sheetId="29">
        <row r="7">
          <cell r="D7">
            <v>702464.564466262</v>
          </cell>
        </row>
        <row r="8">
          <cell r="D8">
            <v>377440.03630001203</v>
          </cell>
        </row>
        <row r="9">
          <cell r="D9">
            <v>618819.34332435101</v>
          </cell>
        </row>
        <row r="10">
          <cell r="D10">
            <v>285548.49555822398</v>
          </cell>
        </row>
        <row r="11">
          <cell r="D11">
            <v>361842.79477362602</v>
          </cell>
        </row>
        <row r="12">
          <cell r="D12">
            <v>42352.005351976797</v>
          </cell>
        </row>
        <row r="13">
          <cell r="D13">
            <v>91689.0907705844</v>
          </cell>
        </row>
        <row r="14">
          <cell r="D14">
            <v>6493.47110308419</v>
          </cell>
        </row>
        <row r="15">
          <cell r="D15">
            <v>150063.466744593</v>
          </cell>
        </row>
        <row r="16">
          <cell r="D16">
            <v>858790.26499921503</v>
          </cell>
        </row>
        <row r="17">
          <cell r="D17">
            <v>275251.12290035799</v>
          </cell>
        </row>
        <row r="18">
          <cell r="D18">
            <v>80526.660655737694</v>
          </cell>
        </row>
        <row r="19">
          <cell r="D19">
            <v>133586.794420544</v>
          </cell>
        </row>
        <row r="20">
          <cell r="D20">
            <v>924692.126661157</v>
          </cell>
        </row>
        <row r="21">
          <cell r="D21">
            <v>126367.514296754</v>
          </cell>
        </row>
        <row r="22">
          <cell r="D22">
            <v>136324.581705007</v>
          </cell>
        </row>
        <row r="23">
          <cell r="D23">
            <v>46609.625546368203</v>
          </cell>
        </row>
        <row r="24">
          <cell r="D24">
            <v>472532.12255958701</v>
          </cell>
        </row>
        <row r="25">
          <cell r="D25">
            <v>1558248.63122863</v>
          </cell>
        </row>
        <row r="26">
          <cell r="D26">
            <v>732286.39863349195</v>
          </cell>
        </row>
        <row r="27">
          <cell r="D27">
            <v>95946.431495688506</v>
          </cell>
        </row>
        <row r="28">
          <cell r="D28">
            <v>431018.187461311</v>
          </cell>
        </row>
        <row r="29">
          <cell r="D29">
            <v>681237.30989339796</v>
          </cell>
        </row>
        <row r="30">
          <cell r="D30">
            <v>26093.742622950798</v>
          </cell>
        </row>
        <row r="31">
          <cell r="D31">
            <v>17329.939118145801</v>
          </cell>
        </row>
        <row r="32">
          <cell r="D32">
            <v>320608.23678066098</v>
          </cell>
        </row>
        <row r="33">
          <cell r="D33">
            <v>1512487.4804118599</v>
          </cell>
        </row>
        <row r="34">
          <cell r="D34">
            <v>99933.492896174794</v>
          </cell>
        </row>
        <row r="35">
          <cell r="D35">
            <v>70042.328962838699</v>
          </cell>
        </row>
        <row r="36">
          <cell r="D36">
            <v>76960.454944535901</v>
          </cell>
        </row>
        <row r="37">
          <cell r="D37">
            <v>60731.553607948103</v>
          </cell>
        </row>
        <row r="38">
          <cell r="D38">
            <v>6299.5136612021797</v>
          </cell>
        </row>
        <row r="39">
          <cell r="D39">
            <v>335611.84426982602</v>
          </cell>
        </row>
        <row r="40">
          <cell r="D40">
            <v>104763.979717546</v>
          </cell>
        </row>
        <row r="41">
          <cell r="D41">
            <v>64643.468505389203</v>
          </cell>
        </row>
        <row r="42">
          <cell r="D42">
            <v>170315.05219842499</v>
          </cell>
        </row>
        <row r="43">
          <cell r="D43">
            <v>233770.44991895001</v>
          </cell>
        </row>
        <row r="44">
          <cell r="D44">
            <v>362546.07692887803</v>
          </cell>
        </row>
        <row r="45">
          <cell r="D45">
            <v>635469.59413983196</v>
          </cell>
        </row>
        <row r="46">
          <cell r="D46">
            <v>1086710.38620433</v>
          </cell>
        </row>
        <row r="47">
          <cell r="D47">
            <v>473358.43757523899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7">
          <cell r="R7">
            <v>3868277.209592076</v>
          </cell>
        </row>
        <row r="8">
          <cell r="R8">
            <v>1903162.7488085967</v>
          </cell>
        </row>
        <row r="9">
          <cell r="R9">
            <v>2583953.4766998431</v>
          </cell>
        </row>
        <row r="10">
          <cell r="R10">
            <v>954782.88730373653</v>
          </cell>
        </row>
        <row r="11">
          <cell r="R11">
            <v>881846.761649049</v>
          </cell>
        </row>
        <row r="12">
          <cell r="R12">
            <v>580900.8969428147</v>
          </cell>
        </row>
        <row r="13">
          <cell r="R13">
            <v>584144.799980312</v>
          </cell>
        </row>
        <row r="14">
          <cell r="R14">
            <v>108136.2915316009</v>
          </cell>
        </row>
        <row r="15">
          <cell r="R15">
            <v>593518.21970296442</v>
          </cell>
        </row>
        <row r="19">
          <cell r="R19">
            <v>6794795.1449644351</v>
          </cell>
        </row>
        <row r="20">
          <cell r="R20">
            <v>1718867.2480071967</v>
          </cell>
        </row>
        <row r="21">
          <cell r="R21">
            <v>152968.75935190104</v>
          </cell>
        </row>
        <row r="22">
          <cell r="R22">
            <v>608069.75497586059</v>
          </cell>
        </row>
        <row r="23">
          <cell r="R23">
            <v>4171069.1481113005</v>
          </cell>
        </row>
        <row r="24">
          <cell r="R24">
            <v>484866.28620889847</v>
          </cell>
        </row>
        <row r="25">
          <cell r="R25">
            <v>541830.03241972078</v>
          </cell>
        </row>
        <row r="26">
          <cell r="R26">
            <v>106386.56133998861</v>
          </cell>
        </row>
        <row r="27">
          <cell r="R27">
            <v>2859765.9134821654</v>
          </cell>
        </row>
        <row r="28">
          <cell r="R28">
            <v>3758208.3220747728</v>
          </cell>
        </row>
        <row r="29">
          <cell r="R29">
            <v>1482913.5857595783</v>
          </cell>
        </row>
        <row r="30">
          <cell r="R30">
            <v>488344.0851464069</v>
          </cell>
        </row>
        <row r="31">
          <cell r="R31">
            <v>947278.53471287619</v>
          </cell>
        </row>
        <row r="32">
          <cell r="R32">
            <v>3620874.8895865297</v>
          </cell>
        </row>
        <row r="33">
          <cell r="R33">
            <v>182790.84078432134</v>
          </cell>
        </row>
        <row r="34">
          <cell r="R34">
            <v>158555.47766337413</v>
          </cell>
        </row>
        <row r="35">
          <cell r="R35">
            <v>1298444.1757178262</v>
          </cell>
        </row>
        <row r="36">
          <cell r="R36">
            <v>3148410.7313337135</v>
          </cell>
        </row>
        <row r="37">
          <cell r="R37">
            <v>260242.20219292177</v>
          </cell>
        </row>
        <row r="38">
          <cell r="R38">
            <v>606005.00288021448</v>
          </cell>
        </row>
        <row r="39">
          <cell r="R39">
            <v>1559560.3777467888</v>
          </cell>
        </row>
        <row r="40">
          <cell r="R40">
            <v>448894.53014866461</v>
          </cell>
        </row>
        <row r="41">
          <cell r="R41">
            <v>76698.088463070031</v>
          </cell>
        </row>
        <row r="42">
          <cell r="R42">
            <v>3083367.7236611717</v>
          </cell>
        </row>
        <row r="43">
          <cell r="R43">
            <v>666855.72848897241</v>
          </cell>
        </row>
        <row r="44">
          <cell r="R44">
            <v>406392.92241396365</v>
          </cell>
        </row>
        <row r="45">
          <cell r="R45">
            <v>1248117.9032698055</v>
          </cell>
        </row>
        <row r="46">
          <cell r="R46">
            <v>1772122.0860081597</v>
          </cell>
        </row>
        <row r="47">
          <cell r="R47">
            <v>2037020.0602501561</v>
          </cell>
        </row>
        <row r="48">
          <cell r="R48">
            <v>2565773.439584964</v>
          </cell>
        </row>
        <row r="49">
          <cell r="R49">
            <v>7156719.2786793234</v>
          </cell>
        </row>
        <row r="50">
          <cell r="R50">
            <v>6522384.1164306067</v>
          </cell>
        </row>
      </sheetData>
      <sheetData sheetId="52"/>
      <sheetData sheetId="53"/>
      <sheetData sheetId="54"/>
      <sheetData sheetId="55"/>
      <sheetData sheetId="56"/>
      <sheetData sheetId="57"/>
      <sheetData sheetId="58">
        <row r="7">
          <cell r="D7">
            <v>507.62185368531101</v>
          </cell>
          <cell r="E7">
            <v>187272</v>
          </cell>
          <cell r="J7">
            <v>2051986.8110103093</v>
          </cell>
        </row>
        <row r="8">
          <cell r="D8">
            <v>249.74606267086256</v>
          </cell>
          <cell r="E8">
            <v>117436</v>
          </cell>
          <cell r="J8">
            <v>1245490.6384581486</v>
          </cell>
        </row>
        <row r="9">
          <cell r="D9">
            <v>323.80222158580773</v>
          </cell>
          <cell r="E9">
            <v>144039</v>
          </cell>
          <cell r="J9">
            <v>1526285.6198466448</v>
          </cell>
        </row>
        <row r="10">
          <cell r="D10">
            <v>125.29315580546158</v>
          </cell>
          <cell r="E10">
            <v>50282</v>
          </cell>
          <cell r="J10">
            <v>548055.44726341416</v>
          </cell>
        </row>
        <row r="11">
          <cell r="D11">
            <v>234.25979523506331</v>
          </cell>
          <cell r="E11">
            <v>67850</v>
          </cell>
          <cell r="J11">
            <v>856527.01868000731</v>
          </cell>
        </row>
        <row r="12">
          <cell r="D12">
            <v>26.127301004984332</v>
          </cell>
          <cell r="E12">
            <v>6856</v>
          </cell>
          <cell r="J12">
            <v>89770.412923345677</v>
          </cell>
        </row>
        <row r="13">
          <cell r="D13">
            <v>76.655485147588692</v>
          </cell>
          <cell r="E13">
            <v>16611</v>
          </cell>
          <cell r="J13">
            <v>333515.33415643324</v>
          </cell>
        </row>
        <row r="14">
          <cell r="D14">
            <v>14.190385482666855</v>
          </cell>
          <cell r="E14">
            <v>571</v>
          </cell>
          <cell r="J14">
            <v>22612.178245389576</v>
          </cell>
        </row>
        <row r="15">
          <cell r="D15">
            <v>77.885529541300869</v>
          </cell>
          <cell r="E15">
            <v>34936</v>
          </cell>
          <cell r="J15">
            <v>347943.61550194636</v>
          </cell>
        </row>
        <row r="16">
          <cell r="D16"/>
          <cell r="E16"/>
        </row>
        <row r="17">
          <cell r="D17"/>
          <cell r="E17"/>
        </row>
        <row r="18">
          <cell r="D18"/>
          <cell r="E18"/>
        </row>
        <row r="19">
          <cell r="D19">
            <v>670.36320196604652</v>
          </cell>
          <cell r="E19">
            <v>199907</v>
          </cell>
          <cell r="J19">
            <v>1968978.9494053719</v>
          </cell>
        </row>
        <row r="20">
          <cell r="D20">
            <v>140.64588922184248</v>
          </cell>
          <cell r="E20">
            <v>32009</v>
          </cell>
          <cell r="J20">
            <v>313609.57172032632</v>
          </cell>
        </row>
        <row r="21">
          <cell r="D21">
            <v>56.948548971025573</v>
          </cell>
          <cell r="E21">
            <v>14685</v>
          </cell>
          <cell r="J21">
            <v>142821.49462544618</v>
          </cell>
        </row>
        <row r="22">
          <cell r="D22">
            <v>70.147244788196062</v>
          </cell>
          <cell r="E22">
            <v>16561</v>
          </cell>
          <cell r="J22">
            <v>182974.06830452735</v>
          </cell>
        </row>
        <row r="23">
          <cell r="D23">
            <v>433.10636538916634</v>
          </cell>
          <cell r="E23">
            <v>93641</v>
          </cell>
          <cell r="J23">
            <v>986987.76777595736</v>
          </cell>
        </row>
        <row r="24">
          <cell r="D24">
            <v>55.934428229520066</v>
          </cell>
          <cell r="E24">
            <v>17210</v>
          </cell>
          <cell r="J24">
            <v>147154.94267199404</v>
          </cell>
        </row>
        <row r="25">
          <cell r="D25">
            <v>62.505795768860779</v>
          </cell>
          <cell r="E25">
            <v>32153</v>
          </cell>
          <cell r="J25">
            <v>420985.11315177806</v>
          </cell>
        </row>
        <row r="26">
          <cell r="D26">
            <v>12.272809327256992</v>
          </cell>
          <cell r="E26">
            <v>2359</v>
          </cell>
          <cell r="J26">
            <v>37097.619915525866</v>
          </cell>
        </row>
        <row r="27">
          <cell r="D27">
            <v>303.31795426535876</v>
          </cell>
          <cell r="E27">
            <v>105794</v>
          </cell>
          <cell r="J27">
            <v>1092556.756447084</v>
          </cell>
        </row>
        <row r="28">
          <cell r="D28">
            <v>645.19830503723642</v>
          </cell>
          <cell r="E28">
            <v>131351</v>
          </cell>
          <cell r="J28">
            <v>1354954.1643730646</v>
          </cell>
        </row>
        <row r="29">
          <cell r="D29">
            <v>157.28361299237088</v>
          </cell>
          <cell r="E29">
            <v>54425</v>
          </cell>
          <cell r="J29">
            <v>513705.07629866584</v>
          </cell>
        </row>
        <row r="30">
          <cell r="D30">
            <v>51.795683061287761</v>
          </cell>
          <cell r="E30">
            <v>6996</v>
          </cell>
          <cell r="J30">
            <v>128917.19367924171</v>
          </cell>
        </row>
        <row r="31">
          <cell r="D31">
            <v>220.68257414239068</v>
          </cell>
          <cell r="E31">
            <v>39456</v>
          </cell>
          <cell r="J31">
            <v>598894.20110786799</v>
          </cell>
        </row>
        <row r="32">
          <cell r="D32">
            <v>245.36816916871689</v>
          </cell>
          <cell r="E32">
            <v>54256</v>
          </cell>
          <cell r="J32">
            <v>784086.75965600752</v>
          </cell>
        </row>
        <row r="33">
          <cell r="D33">
            <v>19.387511272779221</v>
          </cell>
          <cell r="E33">
            <v>2206</v>
          </cell>
          <cell r="J33">
            <v>49995.114785125988</v>
          </cell>
        </row>
        <row r="34">
          <cell r="D34">
            <v>12.349689403219619</v>
          </cell>
          <cell r="E34">
            <v>1583</v>
          </cell>
          <cell r="J34">
            <v>39676.481673716815</v>
          </cell>
        </row>
        <row r="35">
          <cell r="D35">
            <v>233.76613739202949</v>
          </cell>
          <cell r="E35">
            <v>49342</v>
          </cell>
          <cell r="J35">
            <v>603515.54861081031</v>
          </cell>
        </row>
        <row r="36">
          <cell r="D36">
            <v>330.62467089448666</v>
          </cell>
          <cell r="E36">
            <v>80380</v>
          </cell>
          <cell r="J36">
            <v>1079886.4010452444</v>
          </cell>
        </row>
        <row r="37">
          <cell r="D37">
            <v>82.891066276475868</v>
          </cell>
          <cell r="E37">
            <v>15649</v>
          </cell>
          <cell r="J37">
            <v>218002.34570061922</v>
          </cell>
        </row>
        <row r="38">
          <cell r="D38">
            <v>80.057232494405213</v>
          </cell>
          <cell r="E38">
            <v>13783</v>
          </cell>
          <cell r="J38">
            <v>213740.74928743963</v>
          </cell>
        </row>
        <row r="39">
          <cell r="D39">
            <v>71.451701087266258</v>
          </cell>
          <cell r="E39">
            <v>10706</v>
          </cell>
          <cell r="J39">
            <v>160344.5935898388</v>
          </cell>
        </row>
        <row r="40">
          <cell r="D40">
            <v>47.139848946540205</v>
          </cell>
          <cell r="E40">
            <v>9010</v>
          </cell>
          <cell r="J40">
            <v>163685.50657562588</v>
          </cell>
        </row>
        <row r="41">
          <cell r="D41">
            <v>8.0543113399936264</v>
          </cell>
          <cell r="E41">
            <v>933</v>
          </cell>
          <cell r="J41">
            <v>19597.220542556232</v>
          </cell>
        </row>
        <row r="42">
          <cell r="D42">
            <v>323.79429682934301</v>
          </cell>
          <cell r="E42">
            <v>69585</v>
          </cell>
          <cell r="J42">
            <v>1008176.8921809279</v>
          </cell>
        </row>
        <row r="43">
          <cell r="D43">
            <v>70.028650827387906</v>
          </cell>
          <cell r="E43">
            <v>11911</v>
          </cell>
          <cell r="J43">
            <v>218782.8295305059</v>
          </cell>
        </row>
        <row r="44">
          <cell r="D44">
            <v>42.676619314547629</v>
          </cell>
          <cell r="E44">
            <v>6746</v>
          </cell>
          <cell r="J44">
            <v>101143.87467598723</v>
          </cell>
        </row>
        <row r="45">
          <cell r="D45">
            <v>131.06884908605548</v>
          </cell>
          <cell r="E45">
            <v>16972</v>
          </cell>
          <cell r="J45">
            <v>323362.51352482504</v>
          </cell>
        </row>
        <row r="46">
          <cell r="D46">
            <v>186.09620264605687</v>
          </cell>
          <cell r="E46">
            <v>34429</v>
          </cell>
          <cell r="J46">
            <v>513782.84456638707</v>
          </cell>
        </row>
        <row r="47">
          <cell r="D47">
            <v>213.91398533963681</v>
          </cell>
          <cell r="E47">
            <v>73742</v>
          </cell>
          <cell r="J47">
            <v>790244.95459684776</v>
          </cell>
        </row>
        <row r="48">
          <cell r="D48">
            <v>499.23286955897152</v>
          </cell>
          <cell r="E48">
            <v>175259</v>
          </cell>
          <cell r="J48">
            <v>1795711.5845307626</v>
          </cell>
        </row>
        <row r="49">
          <cell r="D49">
            <v>651.64263965422276</v>
          </cell>
          <cell r="E49">
            <v>223685</v>
          </cell>
          <cell r="J49">
            <v>2241404.8585891863</v>
          </cell>
        </row>
        <row r="50">
          <cell r="D50">
            <v>387.64337263403689</v>
          </cell>
          <cell r="E50">
            <v>178091</v>
          </cell>
          <cell r="J50">
            <v>2325625.9584715161</v>
          </cell>
        </row>
      </sheetData>
      <sheetData sheetId="5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25AC-3A84-44E4-A53F-AE5A3054B116}">
  <dimension ref="A2:R50"/>
  <sheetViews>
    <sheetView tabSelected="1" workbookViewId="0">
      <selection activeCell="J3" sqref="J3"/>
    </sheetView>
  </sheetViews>
  <sheetFormatPr baseColWidth="10" defaultColWidth="11.5703125" defaultRowHeight="15" x14ac:dyDescent="0.25"/>
  <cols>
    <col min="1" max="1" width="21.85546875" style="1" customWidth="1"/>
    <col min="2" max="2" width="5" style="1" bestFit="1" customWidth="1"/>
    <col min="3" max="3" width="6.28515625" style="1" bestFit="1" customWidth="1"/>
    <col min="4" max="4" width="11.5703125" style="1"/>
    <col min="5" max="5" width="14.28515625" style="1" customWidth="1"/>
    <col min="6" max="6" width="11.42578125" style="1" bestFit="1" customWidth="1"/>
    <col min="7" max="7" width="12.85546875" style="1" customWidth="1"/>
    <col min="8" max="8" width="11.5703125" style="1"/>
    <col min="9" max="9" width="7.7109375" style="1" bestFit="1" customWidth="1"/>
    <col min="10" max="10" width="11.5703125" style="1"/>
    <col min="11" max="11" width="16.5703125" style="1" customWidth="1"/>
    <col min="12" max="12" width="21.5703125" style="1" customWidth="1"/>
    <col min="13" max="16384" width="11.5703125" style="1"/>
  </cols>
  <sheetData>
    <row r="2" spans="1:18" x14ac:dyDescent="0.25">
      <c r="O2" s="2"/>
      <c r="P2" s="2"/>
      <c r="Q2" s="2"/>
      <c r="R2" s="2"/>
    </row>
    <row r="3" spans="1:18" ht="38.25" x14ac:dyDescent="0.25">
      <c r="A3" s="1" t="s">
        <v>12</v>
      </c>
      <c r="B3" s="1" t="str">
        <f>+[1]Validación!A4</f>
        <v>Zona</v>
      </c>
      <c r="C3" s="1" t="str">
        <f>+[1]Validación!B4</f>
        <v>Sector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</row>
    <row r="4" spans="1:18" x14ac:dyDescent="0.25">
      <c r="A4" s="1" t="s">
        <v>13</v>
      </c>
      <c r="B4" s="1">
        <v>1</v>
      </c>
      <c r="C4" s="1">
        <f>+[1]Validación!B5</f>
        <v>5</v>
      </c>
      <c r="D4" s="5">
        <f>+[1]Validación!K5</f>
        <v>3.4748461607514685</v>
      </c>
      <c r="E4" s="5">
        <f>+[1]Validación!I5</f>
        <v>4.2835687074257187</v>
      </c>
      <c r="F4" s="6">
        <f>+'[1]PR 02'!R7</f>
        <v>3868277.209592076</v>
      </c>
      <c r="G4" s="5">
        <f>+[1]Validación!F5</f>
        <v>7.7584148681771872</v>
      </c>
      <c r="H4" s="7">
        <f>F4/[1]UARL!D7/365</f>
        <v>20.877784664639492</v>
      </c>
      <c r="I4" s="8">
        <v>28.311688311688307</v>
      </c>
      <c r="J4" s="9">
        <f>H4/I4</f>
        <v>0.73742633907212896</v>
      </c>
      <c r="K4" s="5">
        <f>[1]VE!F6/12/[1]UARL!E7</f>
        <v>13.918677826445848</v>
      </c>
      <c r="L4" s="5">
        <f>+SUM('[1]VFM 01'!E7,'[1]VFM 02'!E7,'[1]VFM 03'!E7,'[1]VFNM 04-05'!D7)/[1]UARL!E7/12</f>
        <v>10.25127827347711</v>
      </c>
      <c r="M4" s="5">
        <f>+[1]UARL!J7/1000000</f>
        <v>2.0519868110103094</v>
      </c>
      <c r="N4" s="5">
        <f>E4/M4</f>
        <v>2.0875225339858177</v>
      </c>
      <c r="O4" s="5">
        <f>(G4*1000000)/12/[1]UARL!E7</f>
        <v>3.4523824829558021</v>
      </c>
    </row>
    <row r="5" spans="1:18" x14ac:dyDescent="0.25">
      <c r="A5" s="1" t="s">
        <v>18</v>
      </c>
      <c r="B5" s="1">
        <v>1</v>
      </c>
      <c r="C5" s="1">
        <f>+[1]Validación!B6</f>
        <v>6</v>
      </c>
      <c r="D5" s="5">
        <f>+[1]Validación!K6</f>
        <v>3.551092270937569</v>
      </c>
      <c r="E5" s="5">
        <f>+[1]Validación!I6</f>
        <v>2.0733086804869485</v>
      </c>
      <c r="F5" s="6">
        <f>+'[1]PR 02'!R8</f>
        <v>1903162.7488085967</v>
      </c>
      <c r="G5" s="5">
        <f>+[1]Validación!F6</f>
        <v>5.6244009514245175</v>
      </c>
      <c r="H5" s="7">
        <f>F5/[1]UARL!D8/365</f>
        <v>20.877784664639488</v>
      </c>
      <c r="I5" s="8">
        <v>28.333333333333336</v>
      </c>
      <c r="J5" s="9">
        <f t="shared" ref="J5:J47" si="0">H5/I5</f>
        <v>0.73686298816374662</v>
      </c>
      <c r="K5" s="5">
        <f>[1]VE!F7/12/[1]UARL!E8</f>
        <v>13.872261157708596</v>
      </c>
      <c r="L5" s="5">
        <f>+SUM('[1]VFM 01'!E8,'[1]VFM 02'!E8,'[1]VFM 03'!E8,'[1]VFNM 04-05'!D8)/[1]UARL!E8/12</f>
        <v>9.7633509620685128</v>
      </c>
      <c r="M5" s="5">
        <f>+[1]UARL!J8/1000000</f>
        <v>1.2454906384581486</v>
      </c>
      <c r="N5" s="5">
        <f t="shared" ref="N5:N49" si="1">E5/M5</f>
        <v>1.6646521591311154</v>
      </c>
      <c r="O5" s="5">
        <f>(G5*1000000)/12/[1]UARL!E8</f>
        <v>3.9911107265691652</v>
      </c>
    </row>
    <row r="6" spans="1:18" x14ac:dyDescent="0.25">
      <c r="A6" s="1" t="s">
        <v>19</v>
      </c>
      <c r="B6" s="1">
        <v>1</v>
      </c>
      <c r="C6" s="1">
        <f>+[1]Validación!B7</f>
        <v>7</v>
      </c>
      <c r="D6" s="5">
        <f>+[1]Validación!K7</f>
        <v>4.136469639283356</v>
      </c>
      <c r="E6" s="5">
        <f>+[1]Validación!I7</f>
        <v>2.8918903482633267</v>
      </c>
      <c r="F6" s="6">
        <f>+'[1]PR 02'!R9</f>
        <v>2583953.4766998431</v>
      </c>
      <c r="G6" s="5">
        <f>+[1]Validación!F7</f>
        <v>7.0283599875466827</v>
      </c>
      <c r="H6" s="7">
        <f>F6/[1]UARL!D9/365</f>
        <v>21.863113103509626</v>
      </c>
      <c r="I6" s="8">
        <v>28.02987012987013</v>
      </c>
      <c r="J6" s="9">
        <f t="shared" si="0"/>
        <v>0.77999337857120943</v>
      </c>
      <c r="K6" s="5">
        <f>[1]VE!F8/12/[1]UARL!E9</f>
        <v>14.203801523962259</v>
      </c>
      <c r="L6" s="5">
        <f>+SUM('[1]VFM 01'!E9,'[1]VFM 02'!E9,'[1]VFM 03'!E9,'[1]VFNM 04-05'!D9)/[1]UARL!E9/12</f>
        <v>10.016882872590498</v>
      </c>
      <c r="M6" s="5">
        <f>+[1]UARL!J9/1000000</f>
        <v>1.5262856198466448</v>
      </c>
      <c r="N6" s="5">
        <f t="shared" si="1"/>
        <v>1.8947242315982067</v>
      </c>
      <c r="O6" s="5">
        <f>(G6*1000000)/12/[1]UARL!E9</f>
        <v>4.0662366833211152</v>
      </c>
    </row>
    <row r="7" spans="1:18" x14ac:dyDescent="0.25">
      <c r="A7" s="1" t="s">
        <v>20</v>
      </c>
      <c r="B7" s="1">
        <v>1</v>
      </c>
      <c r="C7" s="1">
        <f>+[1]Validación!B8</f>
        <v>8</v>
      </c>
      <c r="D7" s="5">
        <f>+[1]Validación!K8</f>
        <v>1.9161219385088213</v>
      </c>
      <c r="E7" s="5">
        <f>+[1]Validación!I8</f>
        <v>1.1032750305516181</v>
      </c>
      <c r="F7" s="6">
        <f>+'[1]PR 02'!R10</f>
        <v>954782.88730373653</v>
      </c>
      <c r="G7" s="5">
        <f>+[1]Validación!F8</f>
        <v>3.0193969690604394</v>
      </c>
      <c r="H7" s="7">
        <f>F7/[1]UARL!D10/365</f>
        <v>20.877784664639488</v>
      </c>
      <c r="I7" s="8">
        <v>27.391818181818181</v>
      </c>
      <c r="J7" s="9">
        <f t="shared" si="0"/>
        <v>0.76219053901640965</v>
      </c>
      <c r="K7" s="5">
        <f>[1]VE!F9/12/[1]UARL!E10</f>
        <v>16.731284396951196</v>
      </c>
      <c r="L7" s="5">
        <f>+SUM('[1]VFM 01'!E10,'[1]VFM 02'!E10,'[1]VFM 03'!E10,'[1]VFNM 04-05'!D10)/[1]UARL!E10/12</f>
        <v>11.580712338229839</v>
      </c>
      <c r="M7" s="5">
        <f>+[1]UARL!J10/1000000</f>
        <v>0.54805544726341415</v>
      </c>
      <c r="N7" s="5">
        <f t="shared" si="1"/>
        <v>2.0130719182895858</v>
      </c>
      <c r="O7" s="5">
        <f>(G7*1000000)/12/[1]UARL!E10</f>
        <v>5.0041051288407372</v>
      </c>
    </row>
    <row r="8" spans="1:18" x14ac:dyDescent="0.25">
      <c r="A8" s="1" t="s">
        <v>14</v>
      </c>
      <c r="B8" s="1">
        <v>1</v>
      </c>
      <c r="C8" s="1">
        <f>+[1]Validación!B9</f>
        <v>9</v>
      </c>
      <c r="D8" s="5">
        <f>+[1]Validación!K9</f>
        <v>2.0528445973978622</v>
      </c>
      <c r="E8" s="5">
        <f>+[1]Validación!I9</f>
        <v>1.1419619265575094</v>
      </c>
      <c r="F8" s="6">
        <f>+'[1]PR 02'!R11</f>
        <v>881846.761649049</v>
      </c>
      <c r="G8" s="5">
        <f>+[1]Validación!F9</f>
        <v>3.1948065239553713</v>
      </c>
      <c r="H8" s="7">
        <f>F8/[1]UARL!D11/365</f>
        <v>10.313415166446219</v>
      </c>
      <c r="I8" s="8">
        <v>31.046818181818182</v>
      </c>
      <c r="J8" s="9">
        <f t="shared" si="0"/>
        <v>0.3321891185772467</v>
      </c>
      <c r="K8" s="5">
        <f>[1]VE!F10/12/[1]UARL!E11</f>
        <v>14.199839385860352</v>
      </c>
      <c r="L8" s="5">
        <f>+SUM('[1]VFM 01'!E11,'[1]VFM 02'!E11,'[1]VFM 03'!E11,'[1]VFNM 04-05'!D11)/[1]UARL!E11/12</f>
        <v>10.092289808031753</v>
      </c>
      <c r="M8" s="5">
        <f>+[1]UARL!J11/1000000</f>
        <v>0.85652701868000736</v>
      </c>
      <c r="N8" s="5">
        <f t="shared" si="1"/>
        <v>1.3332468231035903</v>
      </c>
      <c r="O8" s="5">
        <f>(G8*1000000)/12/[1]UARL!E11</f>
        <v>3.9238596462237423</v>
      </c>
    </row>
    <row r="9" spans="1:18" x14ac:dyDescent="0.25">
      <c r="A9" s="1" t="s">
        <v>17</v>
      </c>
      <c r="B9" s="1">
        <v>1</v>
      </c>
      <c r="C9" s="1">
        <f>+[1]Validación!B10</f>
        <v>18</v>
      </c>
      <c r="D9" s="5">
        <f>+[1]Validación!K10</f>
        <v>1.4480637017992204</v>
      </c>
      <c r="E9" s="5">
        <f>+[1]Validación!I10</f>
        <v>0.59929132715060396</v>
      </c>
      <c r="F9" s="6">
        <f>+'[1]PR 02'!R12</f>
        <v>580900.8969428147</v>
      </c>
      <c r="G9" s="5">
        <f>+[1]Validación!F10</f>
        <v>2.0473550289498244</v>
      </c>
      <c r="H9" s="7">
        <f>F9/[1]UARL!D12/365</f>
        <v>60.913651447925268</v>
      </c>
      <c r="I9" s="8">
        <v>30</v>
      </c>
      <c r="J9" s="9">
        <f t="shared" si="0"/>
        <v>2.0304550482641757</v>
      </c>
      <c r="K9" s="5">
        <f>[1]VE!F11/12/[1]UARL!E12</f>
        <v>41.810115656116295</v>
      </c>
      <c r="L9" s="5">
        <f>+SUM('[1]VFM 01'!E12,'[1]VFM 02'!E12,'[1]VFM 03'!E12,'[1]VFNM 04-05'!D12)/[1]UARL!E12/12</f>
        <v>16.230675193020879</v>
      </c>
      <c r="M9" s="5">
        <f>+[1]UARL!J12/1000000</f>
        <v>8.9770412923345672E-2</v>
      </c>
      <c r="N9" s="5">
        <f t="shared" si="1"/>
        <v>6.6758223298174491</v>
      </c>
      <c r="O9" s="5">
        <f>(G9*1000000)/12/[1]UARL!E12</f>
        <v>24.885198232081684</v>
      </c>
    </row>
    <row r="10" spans="1:18" x14ac:dyDescent="0.25">
      <c r="A10" s="1" t="s">
        <v>16</v>
      </c>
      <c r="B10" s="1">
        <v>1</v>
      </c>
      <c r="C10" s="1">
        <f>+[1]Validación!B11</f>
        <v>31</v>
      </c>
      <c r="D10" s="5">
        <f>+[1]Validación!K11</f>
        <v>0.43587041265894344</v>
      </c>
      <c r="E10" s="5">
        <f>+[1]Validación!I11</f>
        <v>0.6157342814641269</v>
      </c>
      <c r="F10" s="6">
        <f>+'[1]PR 02'!R13</f>
        <v>584144.799980312</v>
      </c>
      <c r="G10" s="5">
        <f>+[1]Validación!F11</f>
        <v>1.0516046941230703</v>
      </c>
      <c r="H10" s="7">
        <f>F10/[1]UARL!D13/365</f>
        <v>20.877784664639488</v>
      </c>
      <c r="I10" s="8">
        <v>42.590909090909093</v>
      </c>
      <c r="J10" s="9">
        <f t="shared" si="0"/>
        <v>0.49019344997019071</v>
      </c>
      <c r="K10" s="5">
        <f>[1]VE!F12/12/[1]UARL!E13</f>
        <v>20.593252788576599</v>
      </c>
      <c r="L10" s="5">
        <f>+SUM('[1]VFM 01'!E13,'[1]VFM 02'!E13,'[1]VFM 03'!E13,'[1]VFNM 04-05'!D13)/[1]UARL!E13/12</f>
        <v>14.192149442975449</v>
      </c>
      <c r="M10" s="5">
        <f>+[1]UARL!J13/1000000</f>
        <v>0.33351533415643325</v>
      </c>
      <c r="N10" s="5">
        <f t="shared" si="1"/>
        <v>1.8461948174632374</v>
      </c>
      <c r="O10" s="5">
        <f>(G10*1000000)/12/[1]UARL!E13</f>
        <v>5.2756441219827748</v>
      </c>
    </row>
    <row r="11" spans="1:18" x14ac:dyDescent="0.25">
      <c r="A11" s="1" t="s">
        <v>21</v>
      </c>
      <c r="B11" s="1">
        <v>1</v>
      </c>
      <c r="C11" s="1">
        <f>+[1]Validación!B12</f>
        <v>32</v>
      </c>
      <c r="D11" s="10">
        <f>+[1]Validación!K12</f>
        <v>-0.22194045412431179</v>
      </c>
      <c r="E11" s="10">
        <f>+[1]Validación!I12</f>
        <v>0.1094321866399821</v>
      </c>
      <c r="F11" s="11">
        <f>+'[1]PR 02'!R14</f>
        <v>108136.2915316009</v>
      </c>
      <c r="G11" s="10">
        <f>+[1]Validación!F12</f>
        <v>-0.11250826748432968</v>
      </c>
      <c r="H11" s="12">
        <f>F11/[1]UARL!D14/365</f>
        <v>20.877784664639492</v>
      </c>
      <c r="I11" s="13">
        <v>38.06818181818182</v>
      </c>
      <c r="J11" s="14">
        <f t="shared" si="0"/>
        <v>0.54843135835470902</v>
      </c>
      <c r="K11" s="10">
        <f>[1]VE!F13/12/[1]UARL!E14</f>
        <v>16.968447168709865</v>
      </c>
      <c r="L11" s="10">
        <f>+SUM('[1]VFM 01'!E14,'[1]VFM 02'!E14,'[1]VFM 03'!E14,'[1]VFNM 04-05'!D14)/[1]UARL!E14/12</f>
        <v>26.056405411606843</v>
      </c>
      <c r="M11" s="10">
        <f>+[1]UARL!J14/1000000</f>
        <v>2.2612178245389577E-2</v>
      </c>
      <c r="N11" s="10">
        <f t="shared" si="1"/>
        <v>4.8395243241236328</v>
      </c>
      <c r="O11" s="10">
        <f>(G11*1000000)/12/[1]UARL!E14</f>
        <v>-16.419770502675085</v>
      </c>
    </row>
    <row r="12" spans="1:18" x14ac:dyDescent="0.25">
      <c r="A12" s="1" t="s">
        <v>15</v>
      </c>
      <c r="B12" s="1">
        <v>1</v>
      </c>
      <c r="C12" s="1">
        <f>+[1]Validación!B13</f>
        <v>35</v>
      </c>
      <c r="D12" s="5">
        <f>+[1]Validación!K13</f>
        <v>0.54831881867576671</v>
      </c>
      <c r="E12" s="5">
        <f>+[1]Validación!I13</f>
        <v>0.64928840314944181</v>
      </c>
      <c r="F12" s="6">
        <f>+'[1]PR 02'!R15</f>
        <v>593518.21970296442</v>
      </c>
      <c r="G12" s="5">
        <f>+[1]Validación!F13</f>
        <v>1.1976072218252085</v>
      </c>
      <c r="H12" s="7">
        <f>F12/[1]UARL!D15/365</f>
        <v>20.877784664639488</v>
      </c>
      <c r="I12" s="8">
        <v>26.481818181818184</v>
      </c>
      <c r="J12" s="9">
        <f t="shared" si="0"/>
        <v>0.78838184452809601</v>
      </c>
      <c r="K12" s="5">
        <f>[1]VE!F14/12/[1]UARL!E15</f>
        <v>12.827195237958936</v>
      </c>
      <c r="L12" s="5">
        <f>+SUM('[1]VFM 01'!E15,'[1]VFM 02'!E15,'[1]VFM 03'!E15,'[1]VFNM 04-05'!D15)/[1]UARL!E15/12</f>
        <v>9.7500325229708462</v>
      </c>
      <c r="M12" s="5">
        <f>+[1]UARL!J15/1000000</f>
        <v>0.34794361550194636</v>
      </c>
      <c r="N12" s="5">
        <f t="shared" si="1"/>
        <v>1.8660736229137957</v>
      </c>
      <c r="O12" s="5">
        <f>(G12*1000000)/12/[1]UARL!E15</f>
        <v>2.8566693902784341</v>
      </c>
    </row>
    <row r="13" spans="1:18" hidden="1" x14ac:dyDescent="0.25">
      <c r="B13" s="1">
        <f>+[1]Validación!A14</f>
        <v>0</v>
      </c>
      <c r="C13" s="1">
        <f>+[1]Validación!B14</f>
        <v>0</v>
      </c>
      <c r="D13" s="5"/>
      <c r="E13" s="5"/>
      <c r="F13" s="6"/>
      <c r="G13" s="5"/>
      <c r="H13" s="7"/>
      <c r="I13" s="15"/>
      <c r="J13" s="9"/>
      <c r="K13" s="5"/>
      <c r="L13" s="5"/>
      <c r="M13" s="5"/>
      <c r="N13" s="5"/>
      <c r="O13" s="5" t="e">
        <f>(G13*1000000)/12/[1]UARL!E16</f>
        <v>#DIV/0!</v>
      </c>
    </row>
    <row r="14" spans="1:18" hidden="1" x14ac:dyDescent="0.25">
      <c r="B14" s="1">
        <f>+[1]Validación!A15</f>
        <v>0</v>
      </c>
      <c r="C14" s="1">
        <f>+[1]Validación!B15</f>
        <v>0</v>
      </c>
      <c r="D14" s="5"/>
      <c r="E14" s="5"/>
      <c r="F14" s="6"/>
      <c r="G14" s="5"/>
      <c r="H14" s="7"/>
      <c r="I14" s="4"/>
      <c r="J14" s="9"/>
      <c r="K14" s="5"/>
      <c r="L14" s="5"/>
      <c r="M14" s="5"/>
      <c r="N14" s="5"/>
      <c r="O14" s="5" t="e">
        <f>(G14*1000000)/12/[1]UARL!E17</f>
        <v>#DIV/0!</v>
      </c>
    </row>
    <row r="15" spans="1:18" hidden="1" x14ac:dyDescent="0.25">
      <c r="B15" s="1">
        <f>+[1]Validación!A16</f>
        <v>0</v>
      </c>
      <c r="C15" s="1">
        <f>+[1]Validación!B16</f>
        <v>0</v>
      </c>
      <c r="D15" s="5"/>
      <c r="E15" s="5"/>
      <c r="F15" s="6"/>
      <c r="G15" s="5"/>
      <c r="H15" s="7"/>
      <c r="I15" s="4"/>
      <c r="J15" s="9"/>
      <c r="K15" s="5"/>
      <c r="L15" s="5"/>
      <c r="M15" s="5"/>
      <c r="N15" s="5"/>
      <c r="O15" s="5" t="e">
        <f>(G15*1000000)/12/[1]UARL!E18</f>
        <v>#DIV/0!</v>
      </c>
    </row>
    <row r="16" spans="1:18" x14ac:dyDescent="0.25">
      <c r="A16" s="1" t="s">
        <v>22</v>
      </c>
      <c r="B16" s="1">
        <v>2</v>
      </c>
      <c r="C16" s="1">
        <f>+[1]Validación!B17</f>
        <v>4</v>
      </c>
      <c r="D16" s="5">
        <f>+[1]Validación!K17</f>
        <v>7.5174310716401367</v>
      </c>
      <c r="E16" s="5">
        <f>+[1]Validación!I17</f>
        <v>7.4948522913660964</v>
      </c>
      <c r="F16" s="6">
        <f>+'[1]PR 02'!R19</f>
        <v>6794795.1449644351</v>
      </c>
      <c r="G16" s="5">
        <f>+[1]Validación!F17</f>
        <v>15.012283363006233</v>
      </c>
      <c r="H16" s="7">
        <f>F16/[1]UARL!D19/365</f>
        <v>27.76983738799327</v>
      </c>
      <c r="I16" s="8">
        <v>24.125804573512912</v>
      </c>
      <c r="J16" s="9">
        <f t="shared" si="0"/>
        <v>1.1510429549976977</v>
      </c>
      <c r="K16" s="5">
        <f>[1]VE!F18/12/[1]UARL!E19</f>
        <v>17.052057511409469</v>
      </c>
      <c r="L16" s="5">
        <f>+SUM('[1]VFM 01'!E19,'[1]VFM 02'!E19,'[1]VFM 03'!E19,'[1]VFNM 04-05'!D19)/[1]UARL!E19/12</f>
        <v>10.222391779648367</v>
      </c>
      <c r="M16" s="5">
        <f>+[1]UARL!J19/1000000</f>
        <v>1.968978949405372</v>
      </c>
      <c r="N16" s="5">
        <f t="shared" si="1"/>
        <v>3.8064664396892245</v>
      </c>
      <c r="O16" s="5">
        <f>(G16*1000000)/12/[1]UARL!E19</f>
        <v>6.2580280509629613</v>
      </c>
    </row>
    <row r="17" spans="1:15" x14ac:dyDescent="0.25">
      <c r="A17" s="1" t="s">
        <v>23</v>
      </c>
      <c r="B17" s="1">
        <v>2</v>
      </c>
      <c r="C17" s="1">
        <f>+[1]Validación!B18</f>
        <v>10</v>
      </c>
      <c r="D17" s="5">
        <f>+[1]Validación!K18</f>
        <v>1.5237967547895384</v>
      </c>
      <c r="E17" s="5">
        <f>+[1]Validación!I18</f>
        <v>1.9738679412639701</v>
      </c>
      <c r="F17" s="6">
        <f>+'[1]PR 02'!R20</f>
        <v>1718867.2480071967</v>
      </c>
      <c r="G17" s="5">
        <f>+[1]Validación!F18</f>
        <v>3.4976646960535085</v>
      </c>
      <c r="H17" s="7">
        <f>F17/[1]UARL!D20/365</f>
        <v>33.482850889286212</v>
      </c>
      <c r="I17" s="8">
        <v>22.735827505827505</v>
      </c>
      <c r="J17" s="9">
        <f t="shared" si="0"/>
        <v>1.4726911030928651</v>
      </c>
      <c r="K17" s="5">
        <f>[1]VE!F19/12/[1]UARL!E20</f>
        <v>21.806018091005654</v>
      </c>
      <c r="L17" s="5">
        <f>+SUM('[1]VFM 01'!E20,'[1]VFM 02'!E20,'[1]VFM 03'!E20,'[1]VFNM 04-05'!D20)/[1]UARL!E20/12</f>
        <v>14.099485112476444</v>
      </c>
      <c r="M17" s="5">
        <f>+[1]UARL!J20/1000000</f>
        <v>0.31360957172032633</v>
      </c>
      <c r="N17" s="5">
        <f t="shared" si="1"/>
        <v>6.2940296446826709</v>
      </c>
      <c r="O17" s="5">
        <f>(G17*1000000)/12/[1]UARL!E20</f>
        <v>9.1059407667986836</v>
      </c>
    </row>
    <row r="18" spans="1:15" x14ac:dyDescent="0.25">
      <c r="A18" s="1" t="s">
        <v>24</v>
      </c>
      <c r="B18" s="1">
        <v>2</v>
      </c>
      <c r="C18" s="1">
        <f>+[1]Validación!B19</f>
        <v>14</v>
      </c>
      <c r="D18" s="5">
        <f>+[1]Validación!K19</f>
        <v>0.42200402341160875</v>
      </c>
      <c r="E18" s="5">
        <f>+[1]Validación!I19</f>
        <v>0.29561841728819543</v>
      </c>
      <c r="F18" s="6">
        <f>+'[1]PR 02'!R21</f>
        <v>152968.75935190104</v>
      </c>
      <c r="G18" s="5">
        <f>+[1]Validación!F19</f>
        <v>0.71762244069980419</v>
      </c>
      <c r="H18" s="7">
        <f>F18/[1]UARL!D21/365</f>
        <v>7.3591425760171401</v>
      </c>
      <c r="I18" s="8">
        <v>22.897000000000002</v>
      </c>
      <c r="J18" s="9">
        <f t="shared" si="0"/>
        <v>0.32140204288846308</v>
      </c>
      <c r="K18" s="5">
        <f>[1]VE!F20/12/[1]UARL!E21</f>
        <v>17.49371653501305</v>
      </c>
      <c r="L18" s="5">
        <f>+SUM('[1]VFM 01'!E21,'[1]VFM 02'!E21,'[1]VFM 03'!E21,'[1]VFNM 04-05'!D21)/[1]UARL!E21/12</f>
        <v>13.26764370266423</v>
      </c>
      <c r="M18" s="5">
        <f>+[1]UARL!J21/1000000</f>
        <v>0.14282149462544619</v>
      </c>
      <c r="N18" s="5">
        <f t="shared" si="1"/>
        <v>2.0698454253224554</v>
      </c>
      <c r="O18" s="5">
        <f>(G18*1000000)/12/[1]UARL!E21</f>
        <v>4.072309843943958</v>
      </c>
    </row>
    <row r="19" spans="1:15" x14ac:dyDescent="0.25">
      <c r="A19" s="1" t="s">
        <v>25</v>
      </c>
      <c r="B19" s="1">
        <v>2</v>
      </c>
      <c r="C19" s="1">
        <f>+[1]Validación!B20</f>
        <v>16</v>
      </c>
      <c r="D19" s="5">
        <f>+[1]Validación!K20</f>
        <v>0.17493878279145614</v>
      </c>
      <c r="E19" s="5">
        <f>+[1]Validación!I20</f>
        <v>0.68534846280977435</v>
      </c>
      <c r="F19" s="6">
        <f>+'[1]PR 02'!R22</f>
        <v>608069.75497586059</v>
      </c>
      <c r="G19" s="5">
        <f>+[1]Validación!F20</f>
        <v>0.86028724560123049</v>
      </c>
      <c r="H19" s="7">
        <f>F19/[1]UARL!D22/365</f>
        <v>23.749251153208153</v>
      </c>
      <c r="I19" s="8">
        <v>25.163434343434336</v>
      </c>
      <c r="J19" s="9">
        <f t="shared" si="0"/>
        <v>0.94380007232219587</v>
      </c>
      <c r="K19" s="5">
        <f>[1]VE!F21/12/[1]UARL!E22</f>
        <v>14.323670833081739</v>
      </c>
      <c r="L19" s="5">
        <f>+SUM('[1]VFM 01'!E22,'[1]VFM 02'!E22,'[1]VFM 03'!E22,'[1]VFNM 04-05'!D22)/[1]UARL!E22/12</f>
        <v>9.6737295222008743</v>
      </c>
      <c r="M19" s="5">
        <f>+[1]UARL!J22/1000000</f>
        <v>0.18297406830452734</v>
      </c>
      <c r="N19" s="5">
        <f t="shared" si="1"/>
        <v>3.7456043315883178</v>
      </c>
      <c r="O19" s="5">
        <f>(G19*1000000)/12/[1]UARL!E22</f>
        <v>4.3288813356743283</v>
      </c>
    </row>
    <row r="20" spans="1:15" x14ac:dyDescent="0.25">
      <c r="A20" s="1" t="s">
        <v>26</v>
      </c>
      <c r="B20" s="1">
        <v>2</v>
      </c>
      <c r="C20" s="1">
        <f>+[1]Validación!B21</f>
        <v>17</v>
      </c>
      <c r="D20" s="5">
        <f>+[1]Validación!K21</f>
        <v>2.4981462167637147</v>
      </c>
      <c r="E20" s="5">
        <f>+[1]Validación!I21</f>
        <v>4.6684598304067322</v>
      </c>
      <c r="F20" s="6">
        <f>+'[1]PR 02'!R23</f>
        <v>4171069.1481113005</v>
      </c>
      <c r="G20" s="5">
        <f>+[1]Validación!F21</f>
        <v>7.1666060471704469</v>
      </c>
      <c r="H20" s="7">
        <f>F20/[1]UARL!D23/365</f>
        <v>26.385173759536013</v>
      </c>
      <c r="I20" s="8">
        <v>23.335718294051627</v>
      </c>
      <c r="J20" s="9">
        <f t="shared" si="0"/>
        <v>1.1306775916240686</v>
      </c>
      <c r="K20" s="5">
        <f>[1]VE!F22/12/[1]UARL!E23</f>
        <v>17.26059831252692</v>
      </c>
      <c r="L20" s="5">
        <f>+SUM('[1]VFM 01'!E23,'[1]VFM 02'!E23,'[1]VFM 03'!E23,'[1]VFNM 04-05'!D23)/[1]UARL!E23/12</f>
        <v>9.9067642145539931</v>
      </c>
      <c r="M20" s="5">
        <f>+[1]UARL!J23/1000000</f>
        <v>0.98698776777595731</v>
      </c>
      <c r="N20" s="5">
        <f t="shared" si="1"/>
        <v>4.7300077901942714</v>
      </c>
      <c r="O20" s="5">
        <f>(G20*1000000)/12/[1]UARL!E23</f>
        <v>6.377731662386533</v>
      </c>
    </row>
    <row r="21" spans="1:15" x14ac:dyDescent="0.25">
      <c r="A21" s="1" t="s">
        <v>27</v>
      </c>
      <c r="B21" s="1">
        <v>2</v>
      </c>
      <c r="C21" s="1">
        <f>+[1]Validación!B22</f>
        <v>18</v>
      </c>
      <c r="D21" s="5">
        <f>+[1]Validación!K22</f>
        <v>-0.18751320859760456</v>
      </c>
      <c r="E21" s="5">
        <f>+[1]Validación!I22</f>
        <v>0.55911741030534134</v>
      </c>
      <c r="F21" s="6">
        <f>+'[1]PR 02'!R24</f>
        <v>484866.28620889847</v>
      </c>
      <c r="G21" s="5">
        <f>+[1]Validación!F22</f>
        <v>0.37160420170773678</v>
      </c>
      <c r="H21" s="7">
        <f>F21/[1]UARL!D24/365</f>
        <v>23.74925115320816</v>
      </c>
      <c r="I21" s="8">
        <v>20.399074074074019</v>
      </c>
      <c r="J21" s="9">
        <f t="shared" si="0"/>
        <v>1.1642318208644584</v>
      </c>
      <c r="K21" s="5">
        <f>[1]VE!F23/12/[1]UARL!E24</f>
        <v>15.550957568274258</v>
      </c>
      <c r="L21" s="5">
        <f>+SUM('[1]VFM 01'!E24,'[1]VFM 02'!E24,'[1]VFM 03'!E24,'[1]VFNM 04-05'!D24)/[1]UARL!E24/12</f>
        <v>15.117814466131628</v>
      </c>
      <c r="M21" s="5">
        <f>+[1]UARL!J24/1000000</f>
        <v>0.14715494267199403</v>
      </c>
      <c r="N21" s="5">
        <f t="shared" si="1"/>
        <v>3.7995149884404831</v>
      </c>
      <c r="O21" s="5">
        <f>(G21*1000000)/12/[1]UARL!E24</f>
        <v>1.7993618134211542</v>
      </c>
    </row>
    <row r="22" spans="1:15" x14ac:dyDescent="0.25">
      <c r="A22" s="1" t="s">
        <v>28</v>
      </c>
      <c r="B22" s="1">
        <v>2</v>
      </c>
      <c r="C22" s="1">
        <f>+[1]Validación!B23</f>
        <v>19</v>
      </c>
      <c r="D22" s="5">
        <f>+[1]Validación!K23</f>
        <v>3.9560608928318546</v>
      </c>
      <c r="E22" s="5">
        <f>+[1]Validación!I23</f>
        <v>0.65749963250671495</v>
      </c>
      <c r="F22" s="6">
        <f>+'[1]PR 02'!R25</f>
        <v>541830.03241972078</v>
      </c>
      <c r="G22" s="5">
        <f>+[1]Validación!F23</f>
        <v>4.6135605253385696</v>
      </c>
      <c r="H22" s="7">
        <f>F22/[1]UARL!D25/365</f>
        <v>23.74925115320816</v>
      </c>
      <c r="I22" s="8">
        <v>35.124747474747466</v>
      </c>
      <c r="J22" s="9">
        <f t="shared" si="0"/>
        <v>0.67614012514345934</v>
      </c>
      <c r="K22" s="5">
        <f>[1]VE!F24/12/[1]UARL!E25</f>
        <v>22.596964768710031</v>
      </c>
      <c r="L22" s="5">
        <f>+SUM('[1]VFM 01'!E25,'[1]VFM 02'!E25,'[1]VFM 03'!E25,'[1]VFNM 04-05'!D25)/[1]UARL!E25/12</f>
        <v>14.092228699242042</v>
      </c>
      <c r="M22" s="5">
        <f>+[1]UARL!J25/1000000</f>
        <v>0.42098511315177806</v>
      </c>
      <c r="N22" s="5">
        <f t="shared" si="1"/>
        <v>1.5618120735534564</v>
      </c>
      <c r="O22" s="5">
        <f>(G22*1000000)/12/[1]UARL!E25</f>
        <v>11.957309647981447</v>
      </c>
    </row>
    <row r="23" spans="1:15" x14ac:dyDescent="0.25">
      <c r="A23" s="1" t="s">
        <v>29</v>
      </c>
      <c r="B23" s="1">
        <v>2</v>
      </c>
      <c r="C23" s="1">
        <f>+[1]Validación!B24</f>
        <v>33</v>
      </c>
      <c r="D23" s="5">
        <f>+[1]Validación!K24</f>
        <v>0.41406900334425556</v>
      </c>
      <c r="E23" s="5">
        <f>+[1]Validación!I24</f>
        <v>0.12186215627849287</v>
      </c>
      <c r="F23" s="6">
        <f>+'[1]PR 02'!R26</f>
        <v>106386.56133998861</v>
      </c>
      <c r="G23" s="5">
        <f>+[1]Validación!F24</f>
        <v>0.5359311596227484</v>
      </c>
      <c r="H23" s="7">
        <f>F23/[1]UARL!D26/365</f>
        <v>23.74925115320816</v>
      </c>
      <c r="I23" s="8">
        <v>28.369730639730633</v>
      </c>
      <c r="J23" s="9">
        <f t="shared" si="0"/>
        <v>0.83713347351801493</v>
      </c>
      <c r="K23" s="5">
        <f>[1]VE!F25/12/[1]UARL!E26</f>
        <v>36.856448254910269</v>
      </c>
      <c r="L23" s="5">
        <f>+SUM('[1]VFM 01'!E26,'[1]VFM 02'!E26,'[1]VFM 03'!E26,'[1]VFNM 04-05'!D26)/[1]UARL!E26/12</f>
        <v>38.55963660472603</v>
      </c>
      <c r="M23" s="5">
        <f>+[1]UARL!J26/1000000</f>
        <v>3.7097619915525869E-2</v>
      </c>
      <c r="N23" s="5">
        <f t="shared" si="1"/>
        <v>3.2849049765451896</v>
      </c>
      <c r="O23" s="5">
        <f>(G23*1000000)/12/[1]UARL!E26</f>
        <v>18.932144963358358</v>
      </c>
    </row>
    <row r="24" spans="1:15" x14ac:dyDescent="0.25">
      <c r="A24" s="1" t="s">
        <v>30</v>
      </c>
      <c r="B24" s="1">
        <v>3</v>
      </c>
      <c r="C24" s="1">
        <f>+[1]Validación!B25</f>
        <v>3</v>
      </c>
      <c r="D24" s="5">
        <f>+[1]Validación!K25</f>
        <v>1.5370167633986034</v>
      </c>
      <c r="E24" s="5">
        <f>+[1]Validación!I25</f>
        <v>3.275387054812712</v>
      </c>
      <c r="F24" s="6">
        <f>+'[1]PR 02'!R27</f>
        <v>2859765.9134821654</v>
      </c>
      <c r="G24" s="5">
        <f>+[1]Validación!F25</f>
        <v>4.8124038182113154</v>
      </c>
      <c r="H24" s="7">
        <f>F24/[1]UARL!D27/365</f>
        <v>25.830897891972906</v>
      </c>
      <c r="I24" s="8">
        <v>25.525757575757574</v>
      </c>
      <c r="J24" s="9">
        <f t="shared" si="0"/>
        <v>1.0119542119488407</v>
      </c>
      <c r="K24" s="5">
        <f>[1]VE!F26/12/[1]UARL!E27</f>
        <v>14.513320010271533</v>
      </c>
      <c r="L24" s="5">
        <f>+SUM('[1]VFM 01'!E27,'[1]VFM 02'!E27,'[1]VFM 03'!E27,'[1]VFNM 04-05'!D27)/[1]UARL!E27/12</f>
        <v>10.048723132463348</v>
      </c>
      <c r="M24" s="5">
        <f>+[1]UARL!J27/1000000</f>
        <v>1.0925567564470839</v>
      </c>
      <c r="N24" s="5">
        <f t="shared" si="1"/>
        <v>2.997910209684699</v>
      </c>
      <c r="O24" s="5">
        <f>(G24*1000000)/12/[1]UARL!E27</f>
        <v>3.7907031733142675</v>
      </c>
    </row>
    <row r="25" spans="1:15" x14ac:dyDescent="0.25">
      <c r="A25" s="1" t="s">
        <v>31</v>
      </c>
      <c r="B25" s="1">
        <v>3</v>
      </c>
      <c r="C25" s="1">
        <f>+[1]Validación!B26</f>
        <v>11</v>
      </c>
      <c r="D25" s="5">
        <f>+[1]Validación!K26</f>
        <v>6.0196602506858392</v>
      </c>
      <c r="E25" s="5">
        <f>+[1]Validación!I26</f>
        <v>4.3866259171353148</v>
      </c>
      <c r="F25" s="6">
        <f>+'[1]PR 02'!R28</f>
        <v>3758208.3220747728</v>
      </c>
      <c r="G25" s="5">
        <f>+[1]Validación!F26</f>
        <v>10.406286167821154</v>
      </c>
      <c r="H25" s="7">
        <f>F25/[1]UARL!D28/365</f>
        <v>15.958599202728841</v>
      </c>
      <c r="I25" s="8">
        <v>22.73947775628627</v>
      </c>
      <c r="J25" s="9">
        <f t="shared" si="0"/>
        <v>0.70180148259197062</v>
      </c>
      <c r="K25" s="5">
        <f>[1]VE!F27/12/[1]UARL!E28</f>
        <v>20.625275973663442</v>
      </c>
      <c r="L25" s="5">
        <f>+SUM('[1]VFM 01'!E28,'[1]VFM 02'!E28,'[1]VFM 03'!E28,'[1]VFNM 04-05'!D28)/[1]UARL!E28/12</f>
        <v>13.145562046112564</v>
      </c>
      <c r="M25" s="5">
        <f>+[1]UARL!J28/1000000</f>
        <v>1.3549541643730647</v>
      </c>
      <c r="N25" s="5">
        <f t="shared" si="1"/>
        <v>3.2374718145281323</v>
      </c>
      <c r="O25" s="5">
        <f>(G25*1000000)/12/[1]UARL!E28</f>
        <v>6.6020853589625972</v>
      </c>
    </row>
    <row r="26" spans="1:15" x14ac:dyDescent="0.25">
      <c r="A26" s="1" t="s">
        <v>32</v>
      </c>
      <c r="B26" s="1">
        <v>3</v>
      </c>
      <c r="C26" s="1">
        <f>+[1]Validación!B27</f>
        <v>12</v>
      </c>
      <c r="D26" s="5">
        <f>+[1]Validación!K27</f>
        <v>-0.6355819901595241</v>
      </c>
      <c r="E26" s="5">
        <f>+[1]Validación!I27</f>
        <v>1.7806909817469216</v>
      </c>
      <c r="F26" s="6">
        <f>+'[1]PR 02'!R29</f>
        <v>1482913.5857595783</v>
      </c>
      <c r="G26" s="5">
        <f>+[1]Validación!F27</f>
        <v>1.1451089915873975</v>
      </c>
      <c r="H26" s="7">
        <f>F26/[1]UARL!D29/365</f>
        <v>25.830897891972914</v>
      </c>
      <c r="I26" s="8">
        <v>24.187761485826002</v>
      </c>
      <c r="J26" s="9">
        <f t="shared" si="0"/>
        <v>1.0679325537053022</v>
      </c>
      <c r="K26" s="5">
        <f>[1]VE!F28/12/[1]UARL!E29</f>
        <v>15.271769310825297</v>
      </c>
      <c r="L26" s="5">
        <f>+SUM('[1]VFM 01'!E29,'[1]VFM 02'!E29,'[1]VFM 03'!E29,'[1]VFNM 04-05'!D29)/[1]UARL!E29/12</f>
        <v>13.259723003157339</v>
      </c>
      <c r="M26" s="5">
        <f>+[1]UARL!J29/1000000</f>
        <v>0.5137050762986658</v>
      </c>
      <c r="N26" s="5">
        <f t="shared" si="1"/>
        <v>3.466368279981014</v>
      </c>
      <c r="O26" s="5">
        <f>(G26*1000000)/12/[1]UARL!E29</f>
        <v>1.7533440385659127</v>
      </c>
    </row>
    <row r="27" spans="1:15" x14ac:dyDescent="0.25">
      <c r="A27" s="1" t="s">
        <v>33</v>
      </c>
      <c r="B27" s="1">
        <v>3</v>
      </c>
      <c r="C27" s="1">
        <f>+[1]Validación!B28</f>
        <v>15</v>
      </c>
      <c r="D27" s="5">
        <f>+[1]Validación!K28</f>
        <v>1.0306193226492835</v>
      </c>
      <c r="E27" s="5">
        <f>+[1]Validación!I28</f>
        <v>0.57162170381080135</v>
      </c>
      <c r="F27" s="6">
        <f>+'[1]PR 02'!R30</f>
        <v>488344.0851464069</v>
      </c>
      <c r="G27" s="5">
        <f>+[1]Validación!F28</f>
        <v>1.6022410264600848</v>
      </c>
      <c r="H27" s="7">
        <f>F27/[1]UARL!D30/365</f>
        <v>25.830897891972906</v>
      </c>
      <c r="I27" s="8">
        <v>32.959318181818183</v>
      </c>
      <c r="J27" s="9">
        <f t="shared" si="0"/>
        <v>0.78372063856048979</v>
      </c>
      <c r="K27" s="5">
        <f>[1]VE!F29/12/[1]UARL!E30</f>
        <v>33.786294535420225</v>
      </c>
      <c r="L27" s="5">
        <f>+SUM('[1]VFM 01'!E30,'[1]VFM 02'!E30,'[1]VFM 03'!E30,'[1]VFNM 04-05'!D30)/[1]UARL!E30/12</f>
        <v>12.844548871227673</v>
      </c>
      <c r="M27" s="5">
        <f>+[1]UARL!J30/1000000</f>
        <v>0.1289171936792417</v>
      </c>
      <c r="N27" s="5">
        <f t="shared" si="1"/>
        <v>4.434022239369023</v>
      </c>
      <c r="O27" s="5">
        <f>(G27*1000000)/12/[1]UARL!E30</f>
        <v>19.085203764771357</v>
      </c>
    </row>
    <row r="28" spans="1:15" x14ac:dyDescent="0.25">
      <c r="A28" s="1" t="s">
        <v>34</v>
      </c>
      <c r="B28" s="1">
        <v>3</v>
      </c>
      <c r="C28" s="1">
        <f>+[1]Validación!B29</f>
        <v>16</v>
      </c>
      <c r="D28" s="5">
        <f>+[1]Validación!K29</f>
        <v>3.2510907923720289</v>
      </c>
      <c r="E28" s="5">
        <f>+[1]Validación!I29</f>
        <v>1.1065601811645216</v>
      </c>
      <c r="F28" s="6">
        <f>+'[1]PR 02'!R31</f>
        <v>947278.53471287619</v>
      </c>
      <c r="G28" s="5">
        <f>+[1]Validación!F29</f>
        <v>4.3576509735365505</v>
      </c>
      <c r="H28" s="7">
        <f>F28/[1]UARL!D31/365</f>
        <v>11.760256408252042</v>
      </c>
      <c r="I28" s="8">
        <v>30</v>
      </c>
      <c r="J28" s="9">
        <f t="shared" si="0"/>
        <v>0.39200854694173476</v>
      </c>
      <c r="K28" s="5">
        <f>[1]VE!F30/12/[1]UARL!E31</f>
        <v>21.14514413777372</v>
      </c>
      <c r="L28" s="5">
        <f>+SUM('[1]VFM 01'!E31,'[1]VFM 02'!E31,'[1]VFM 03'!E31,'[1]VFNM 04-05'!D31)/[1]UARL!E31/12</f>
        <v>10.908782513866777</v>
      </c>
      <c r="M28" s="5">
        <f>+[1]UARL!J31/1000000</f>
        <v>0.59889420110786795</v>
      </c>
      <c r="N28" s="5">
        <f t="shared" si="1"/>
        <v>1.8476722251067796</v>
      </c>
      <c r="O28" s="5">
        <f>(G28*1000000)/12/[1]UARL!E31</f>
        <v>9.2036086052323061</v>
      </c>
    </row>
    <row r="29" spans="1:15" x14ac:dyDescent="0.25">
      <c r="A29" s="1" t="s">
        <v>35</v>
      </c>
      <c r="B29" s="1">
        <v>3</v>
      </c>
      <c r="C29" s="1">
        <f>+[1]Validación!B30</f>
        <v>19</v>
      </c>
      <c r="D29" s="5">
        <f>+[1]Validación!K30</f>
        <v>3.8108948537121163</v>
      </c>
      <c r="E29" s="5">
        <f>+[1]Validación!I30</f>
        <v>3.9158227690398952</v>
      </c>
      <c r="F29" s="6">
        <f>+'[1]PR 02'!R32</f>
        <v>3620874.8895865297</v>
      </c>
      <c r="G29" s="5">
        <f>+[1]Validación!F30</f>
        <v>7.7267176227520116</v>
      </c>
      <c r="H29" s="7">
        <f>F29/[1]UARL!D32/365</f>
        <v>40.429878131943809</v>
      </c>
      <c r="I29" s="8">
        <v>30</v>
      </c>
      <c r="J29" s="14">
        <f t="shared" si="0"/>
        <v>1.347662604398127</v>
      </c>
      <c r="K29" s="5">
        <f>[1]VE!F31/12/[1]UARL!E32</f>
        <v>23.80392815233953</v>
      </c>
      <c r="L29" s="5">
        <f>+SUM('[1]VFM 01'!E32,'[1]VFM 02'!E32,'[1]VFM 03'!E32,'[1]VFNM 04-05'!D32)/[1]UARL!E32/12</f>
        <v>11.201581582688014</v>
      </c>
      <c r="M29" s="5">
        <f>+[1]UARL!J32/1000000</f>
        <v>0.78408675965600749</v>
      </c>
      <c r="N29" s="5">
        <f t="shared" si="1"/>
        <v>4.9941192359348534</v>
      </c>
      <c r="O29" s="5">
        <f>(G29*1000000)/12/[1]UARL!E32</f>
        <v>11.867685329352225</v>
      </c>
    </row>
    <row r="30" spans="1:15" x14ac:dyDescent="0.25">
      <c r="A30" s="1" t="s">
        <v>36</v>
      </c>
      <c r="B30" s="1">
        <v>3</v>
      </c>
      <c r="C30" s="1">
        <f>+[1]Validación!B31</f>
        <v>21</v>
      </c>
      <c r="D30" s="5">
        <f>+[1]Validación!K31</f>
        <v>0.27474802669466969</v>
      </c>
      <c r="E30" s="5">
        <f>+[1]Validación!I31</f>
        <v>0.23164666198117714</v>
      </c>
      <c r="F30" s="6">
        <f>+'[1]PR 02'!R33</f>
        <v>182790.84078432134</v>
      </c>
      <c r="G30" s="5">
        <f>+[1]Validación!F31</f>
        <v>0.5063946886758468</v>
      </c>
      <c r="H30" s="7">
        <f>F30/[1]UARL!D33/365</f>
        <v>25.830897891972906</v>
      </c>
      <c r="I30" s="8">
        <v>38.590909090909093</v>
      </c>
      <c r="J30" s="9">
        <f t="shared" si="0"/>
        <v>0.66935188883793162</v>
      </c>
      <c r="K30" s="5">
        <f>[1]VE!F32/12/[1]UARL!E33</f>
        <v>33.339360420821997</v>
      </c>
      <c r="L30" s="5">
        <f>+SUM('[1]VFM 01'!E33,'[1]VFM 02'!E33,'[1]VFM 03'!E33,'[1]VFNM 04-05'!D33)/[1]UARL!E33/12</f>
        <v>67.80546697640365</v>
      </c>
      <c r="M30" s="5">
        <f>+[1]UARL!J33/1000000</f>
        <v>4.9995114785125985E-2</v>
      </c>
      <c r="N30" s="5">
        <f t="shared" si="1"/>
        <v>4.6333859413418965</v>
      </c>
      <c r="O30" s="5">
        <f>(G30*1000000)/12/[1]UARL!E33</f>
        <v>19.129445779534858</v>
      </c>
    </row>
    <row r="31" spans="1:15" x14ac:dyDescent="0.25">
      <c r="A31" s="1" t="s">
        <v>37</v>
      </c>
      <c r="B31" s="1">
        <v>3</v>
      </c>
      <c r="C31" s="1">
        <f>+[1]Validación!B32</f>
        <v>25</v>
      </c>
      <c r="D31" s="5">
        <f>+[1]Validación!K32</f>
        <v>0.3093420474916011</v>
      </c>
      <c r="E31" s="5">
        <f>+[1]Validación!I32</f>
        <v>0.17355699086159018</v>
      </c>
      <c r="F31" s="6">
        <f>+'[1]PR 02'!R34</f>
        <v>158555.47766337413</v>
      </c>
      <c r="G31" s="5">
        <f>+[1]Validación!F32</f>
        <v>0.48289903835319126</v>
      </c>
      <c r="H31" s="7">
        <f>F31/[1]UARL!D34/365</f>
        <v>35.174857824966949</v>
      </c>
      <c r="I31" s="8">
        <v>40.159090909090907</v>
      </c>
      <c r="J31" s="9">
        <f t="shared" si="0"/>
        <v>0.87588780096125973</v>
      </c>
      <c r="K31" s="5">
        <f>[1]VE!F33/12/[1]UARL!E34</f>
        <v>39.833840917561588</v>
      </c>
      <c r="L31" s="5">
        <f>+SUM('[1]VFM 01'!E34,'[1]VFM 02'!E34,'[1]VFM 03'!E34,'[1]VFNM 04-05'!D34)/[1]UARL!E34/12</f>
        <v>15.99231444991716</v>
      </c>
      <c r="M31" s="5">
        <f>+[1]UARL!J34/1000000</f>
        <v>3.9676481673716818E-2</v>
      </c>
      <c r="N31" s="5">
        <f t="shared" si="1"/>
        <v>4.3743039589258945</v>
      </c>
      <c r="O31" s="5">
        <f>(G31*1000000)/12/[1]UARL!E34</f>
        <v>25.421090669256227</v>
      </c>
    </row>
    <row r="32" spans="1:15" x14ac:dyDescent="0.25">
      <c r="A32" s="1" t="s">
        <v>38</v>
      </c>
      <c r="B32" s="1">
        <v>4</v>
      </c>
      <c r="C32" s="1">
        <f>+[1]Validación!B33</f>
        <v>13</v>
      </c>
      <c r="D32" s="5">
        <f>+[1]Validación!K33</f>
        <v>4.7196853499615914</v>
      </c>
      <c r="E32" s="5">
        <f>+[1]Validación!I33</f>
        <v>1.4567806647839292</v>
      </c>
      <c r="F32" s="6">
        <f>+'[1]PR 02'!R35</f>
        <v>1298444.1757178262</v>
      </c>
      <c r="G32" s="5">
        <f>+[1]Validación!F33</f>
        <v>6.1764660147455208</v>
      </c>
      <c r="H32" s="7">
        <f>F32/[1]UARL!D35/365</f>
        <v>15.217692960254229</v>
      </c>
      <c r="I32" s="8">
        <v>27.484978354978356</v>
      </c>
      <c r="J32" s="9">
        <f t="shared" si="0"/>
        <v>0.55367309239659079</v>
      </c>
      <c r="K32" s="5">
        <f>[1]VE!F34/12/[1]UARL!E35</f>
        <v>23.249373282396334</v>
      </c>
      <c r="L32" s="5">
        <f>+SUM('[1]VFM 01'!E35,'[1]VFM 02'!E35,'[1]VFM 03'!E35,'[1]VFNM 04-05'!D35)/[1]UARL!E35/12</f>
        <v>12.116944584605955</v>
      </c>
      <c r="M32" s="5">
        <f>+[1]UARL!J35/1000000</f>
        <v>0.60351554861081036</v>
      </c>
      <c r="N32" s="5">
        <f t="shared" si="1"/>
        <v>2.4138245785666821</v>
      </c>
      <c r="O32" s="5">
        <f>(G32*1000000)/12/[1]UARL!E35</f>
        <v>10.431387078529312</v>
      </c>
    </row>
    <row r="33" spans="1:15" x14ac:dyDescent="0.25">
      <c r="A33" s="1" t="s">
        <v>39</v>
      </c>
      <c r="B33" s="1">
        <v>4</v>
      </c>
      <c r="C33" s="1">
        <f>+[1]Validación!B34</f>
        <v>15</v>
      </c>
      <c r="D33" s="5">
        <f>+[1]Validación!K34</f>
        <v>6.7529865893865137</v>
      </c>
      <c r="E33" s="5">
        <f>+[1]Validación!I34</f>
        <v>3.4791051912749102</v>
      </c>
      <c r="F33" s="6">
        <f>+'[1]PR 02'!R36</f>
        <v>3148410.7313337135</v>
      </c>
      <c r="G33" s="5">
        <f>+[1]Validación!F34</f>
        <v>10.232091780661424</v>
      </c>
      <c r="H33" s="7">
        <f>F33/[1]UARL!D36/365</f>
        <v>26.089350205582789</v>
      </c>
      <c r="I33" s="8">
        <v>30</v>
      </c>
      <c r="J33" s="9">
        <f t="shared" si="0"/>
        <v>0.86964500685275969</v>
      </c>
      <c r="K33" s="5">
        <f>[1]VE!F35/12/[1]UARL!E36</f>
        <v>22.604823798415858</v>
      </c>
      <c r="L33" s="5">
        <f>+SUM('[1]VFM 01'!E36,'[1]VFM 02'!E36,'[1]VFM 03'!E36,'[1]VFNM 04-05'!D36)/[1]UARL!E36/12</f>
        <v>10.145584530105404</v>
      </c>
      <c r="M33" s="5">
        <f>+[1]UARL!J36/1000000</f>
        <v>1.0798864010452445</v>
      </c>
      <c r="N33" s="5">
        <f t="shared" si="1"/>
        <v>3.2217325710439653</v>
      </c>
      <c r="O33" s="5">
        <f>(G33*1000000)/12/[1]UARL!E36</f>
        <v>10.608040744651888</v>
      </c>
    </row>
    <row r="34" spans="1:15" x14ac:dyDescent="0.25">
      <c r="A34" s="1" t="s">
        <v>40</v>
      </c>
      <c r="B34" s="1">
        <v>4</v>
      </c>
      <c r="C34" s="1">
        <f>+[1]Validación!B35</f>
        <v>20</v>
      </c>
      <c r="D34" s="5">
        <f>+[1]Validación!K35</f>
        <v>0.71158342640379635</v>
      </c>
      <c r="E34" s="5">
        <f>+[1]Validación!I35</f>
        <v>0.31550192338020228</v>
      </c>
      <c r="F34" s="6">
        <f>+'[1]PR 02'!R37</f>
        <v>260242.20219292177</v>
      </c>
      <c r="G34" s="5">
        <f>+[1]Validación!F35</f>
        <v>1.0270853497839987</v>
      </c>
      <c r="H34" s="7">
        <f>F34/[1]UARL!D37/365</f>
        <v>8.6015582475076968</v>
      </c>
      <c r="I34" s="8">
        <v>29.713762626262625</v>
      </c>
      <c r="J34" s="9">
        <f t="shared" si="0"/>
        <v>0.28948061393965557</v>
      </c>
      <c r="K34" s="5">
        <f>[1]VE!F36/12/[1]UARL!E37</f>
        <v>17.355865875348794</v>
      </c>
      <c r="L34" s="5">
        <f>+SUM('[1]VFM 01'!E37,'[1]VFM 02'!E37,'[1]VFM 03'!E37,'[1]VFNM 04-05'!D37)/[1]UARL!E37/12</f>
        <v>11.143228886843545</v>
      </c>
      <c r="M34" s="5">
        <f>+[1]UARL!J37/1000000</f>
        <v>0.21800234570061922</v>
      </c>
      <c r="N34" s="5">
        <f t="shared" si="1"/>
        <v>1.4472409568174023</v>
      </c>
      <c r="O34" s="5">
        <f>(G34*1000000)/12/[1]UARL!E37</f>
        <v>5.4693875529000717</v>
      </c>
    </row>
    <row r="35" spans="1:15" x14ac:dyDescent="0.25">
      <c r="A35" s="1" t="s">
        <v>41</v>
      </c>
      <c r="B35" s="1">
        <v>4</v>
      </c>
      <c r="C35" s="1">
        <f>+[1]Validación!B36</f>
        <v>22</v>
      </c>
      <c r="D35" s="5">
        <f>+[1]Validación!K36</f>
        <v>0.98598402273537811</v>
      </c>
      <c r="E35" s="5">
        <f>+[1]Validación!I36</f>
        <v>0.71370414317334097</v>
      </c>
      <c r="F35" s="6">
        <f>+'[1]PR 02'!R38</f>
        <v>606005.00288021448</v>
      </c>
      <c r="G35" s="5">
        <f>+[1]Validación!F36</f>
        <v>1.6996881659087191</v>
      </c>
      <c r="H35" s="7">
        <f>F35/[1]UARL!D38/365</f>
        <v>20.73875935244082</v>
      </c>
      <c r="I35" s="8">
        <v>31.006753246753245</v>
      </c>
      <c r="J35" s="9">
        <f t="shared" si="0"/>
        <v>0.66884653118631177</v>
      </c>
      <c r="K35" s="5">
        <f>[1]VE!F37/12/[1]UARL!E38</f>
        <v>21.641263893927302</v>
      </c>
      <c r="L35" s="5">
        <f>+SUM('[1]VFM 01'!E38,'[1]VFM 02'!E38,'[1]VFM 03'!E38,'[1]VFNM 04-05'!D38)/[1]UARL!E38/12</f>
        <v>10.08926931197515</v>
      </c>
      <c r="M35" s="5">
        <f>+[1]UARL!J38/1000000</f>
        <v>0.21374074928743964</v>
      </c>
      <c r="N35" s="5">
        <f t="shared" si="1"/>
        <v>3.3391112623711638</v>
      </c>
      <c r="O35" s="5">
        <f>(G35*1000000)/12/[1]UARL!E38</f>
        <v>10.276476854994796</v>
      </c>
    </row>
    <row r="36" spans="1:15" x14ac:dyDescent="0.25">
      <c r="A36" s="1" t="s">
        <v>42</v>
      </c>
      <c r="B36" s="1">
        <v>4</v>
      </c>
      <c r="C36" s="1">
        <f>+[1]Validación!B37</f>
        <v>23</v>
      </c>
      <c r="D36" s="5">
        <f>+[1]Validación!K37</f>
        <v>0.95302590272629861</v>
      </c>
      <c r="E36" s="5">
        <f>+[1]Validación!I37</f>
        <v>1.5879011598193686</v>
      </c>
      <c r="F36" s="6">
        <f>+'[1]PR 02'!R39</f>
        <v>1559560.3777467888</v>
      </c>
      <c r="G36" s="5">
        <f>+[1]Validación!F37</f>
        <v>2.5409270625456672</v>
      </c>
      <c r="H36" s="7">
        <f>F36/[1]UARL!D39/365</f>
        <v>59.799390262128412</v>
      </c>
      <c r="I36" s="8">
        <v>27.508181818181814</v>
      </c>
      <c r="J36" s="9">
        <f t="shared" si="0"/>
        <v>2.1738765090829593</v>
      </c>
      <c r="K36" s="5">
        <f>[1]VE!F38/12/[1]UARL!E39</f>
        <v>30.110152920480733</v>
      </c>
      <c r="L36" s="5">
        <f>+SUM('[1]VFM 01'!E39,'[1]VFM 02'!E39,'[1]VFM 03'!E39,'[1]VFNM 04-05'!D39)/[1]UARL!E39/12</f>
        <v>11.44593893033389</v>
      </c>
      <c r="M36" s="5">
        <f>+[1]UARL!J39/1000000</f>
        <v>0.1603445935898388</v>
      </c>
      <c r="N36" s="5">
        <f t="shared" si="1"/>
        <v>9.9030539431919795</v>
      </c>
      <c r="O36" s="5">
        <f>(G36*1000000)/12/[1]UARL!E39</f>
        <v>19.778061075920569</v>
      </c>
    </row>
    <row r="37" spans="1:15" x14ac:dyDescent="0.25">
      <c r="A37" s="1" t="s">
        <v>43</v>
      </c>
      <c r="B37" s="1">
        <v>4</v>
      </c>
      <c r="C37" s="1">
        <f>+[1]Validación!B38</f>
        <v>24</v>
      </c>
      <c r="D37" s="5">
        <f>+[1]Validación!K38</f>
        <v>1.2793503347007067</v>
      </c>
      <c r="E37" s="5">
        <f>+[1]Validación!I38</f>
        <v>0.47894712540327833</v>
      </c>
      <c r="F37" s="6">
        <f>+'[1]PR 02'!R40</f>
        <v>448894.53014866461</v>
      </c>
      <c r="G37" s="5">
        <f>+[1]Validación!F38</f>
        <v>1.7582974601039849</v>
      </c>
      <c r="H37" s="7">
        <f>F37/[1]UARL!D40/365</f>
        <v>26.089350205582797</v>
      </c>
      <c r="I37" s="8">
        <v>32.438663101604284</v>
      </c>
      <c r="J37" s="9">
        <f t="shared" si="0"/>
        <v>0.80426712173266235</v>
      </c>
      <c r="K37" s="5">
        <f>[1]VE!F39/12/[1]UARL!E40</f>
        <v>26.562609600443945</v>
      </c>
      <c r="L37" s="5">
        <f>+SUM('[1]VFM 01'!E40,'[1]VFM 02'!E40,'[1]VFM 03'!E40,'[1]VFNM 04-05'!D40)/[1]UARL!E40/12</f>
        <v>9.1348434098622366</v>
      </c>
      <c r="M37" s="5">
        <f>+[1]UARL!J40/1000000</f>
        <v>0.16368550657562589</v>
      </c>
      <c r="N37" s="5">
        <f t="shared" si="1"/>
        <v>2.9260203632139872</v>
      </c>
      <c r="O37" s="5">
        <f>(G37*1000000)/12/[1]UARL!E40</f>
        <v>16.262462635072001</v>
      </c>
    </row>
    <row r="38" spans="1:15" x14ac:dyDescent="0.25">
      <c r="A38" s="1" t="s">
        <v>44</v>
      </c>
      <c r="B38" s="1">
        <v>4</v>
      </c>
      <c r="C38" s="1">
        <f>+[1]Validación!B39</f>
        <v>25</v>
      </c>
      <c r="D38" s="5">
        <f>+[1]Validación!K39</f>
        <v>-3.1278326461826531E-2</v>
      </c>
      <c r="E38" s="5">
        <f>+[1]Validación!I39</f>
        <v>8.0258152572207461E-2</v>
      </c>
      <c r="F38" s="6">
        <f>+'[1]PR 02'!R41</f>
        <v>76698.088463070031</v>
      </c>
      <c r="G38" s="5">
        <f>+[1]Validación!F39</f>
        <v>4.8979826110380931E-2</v>
      </c>
      <c r="H38" s="7">
        <f>F38/[1]UARL!D41/365</f>
        <v>26.089350205582786</v>
      </c>
      <c r="I38" s="8">
        <v>30</v>
      </c>
      <c r="J38" s="9">
        <f t="shared" si="0"/>
        <v>0.86964500685275958</v>
      </c>
      <c r="K38" s="5">
        <f>[1]VE!F40/12/[1]UARL!E41</f>
        <v>21.406652643801362</v>
      </c>
      <c r="L38" s="5">
        <f>+SUM('[1]VFM 01'!E41,'[1]VFM 02'!E41,'[1]VFM 03'!E41,'[1]VFNM 04-05'!D41)/[1]UARL!E41/12</f>
        <v>14.656886229010944</v>
      </c>
      <c r="M38" s="5">
        <f>+[1]UARL!J41/1000000</f>
        <v>1.9597220542556231E-2</v>
      </c>
      <c r="N38" s="5">
        <f t="shared" si="1"/>
        <v>4.0953844652573732</v>
      </c>
      <c r="O38" s="5">
        <f>(G38*1000000)/12/[1]UARL!E41</f>
        <v>4.3747611745606401</v>
      </c>
    </row>
    <row r="39" spans="1:15" x14ac:dyDescent="0.25">
      <c r="A39" s="1" t="s">
        <v>45</v>
      </c>
      <c r="B39" s="1">
        <v>4</v>
      </c>
      <c r="C39" s="1">
        <f>+[1]Validación!B40</f>
        <v>26</v>
      </c>
      <c r="D39" s="5">
        <f>+[1]Validación!K40</f>
        <v>4.1930369124233611</v>
      </c>
      <c r="E39" s="5">
        <f>+[1]Validación!I40</f>
        <v>3.25664789285387</v>
      </c>
      <c r="F39" s="6">
        <f>+'[1]PR 02'!R42</f>
        <v>3083367.7236611717</v>
      </c>
      <c r="G39" s="5">
        <f>+[1]Validación!F40</f>
        <v>7.4496848052772311</v>
      </c>
      <c r="H39" s="7">
        <f>F39/[1]UARL!D42/365</f>
        <v>26.089350205582789</v>
      </c>
      <c r="I39" s="8">
        <v>32.631965657946516</v>
      </c>
      <c r="J39" s="9">
        <f t="shared" si="0"/>
        <v>0.79950287025475364</v>
      </c>
      <c r="K39" s="5">
        <f>[1]VE!F41/12/[1]UARL!E42</f>
        <v>19.693779222054562</v>
      </c>
      <c r="L39" s="5">
        <f>+SUM('[1]VFM 01'!E42,'[1]VFM 02'!E42,'[1]VFM 03'!E42,'[1]VFNM 04-05'!D42)/[1]UARL!E42/12</f>
        <v>9.9969470926358515</v>
      </c>
      <c r="M39" s="5">
        <f>+[1]UARL!J42/1000000</f>
        <v>1.008176892180928</v>
      </c>
      <c r="N39" s="5">
        <f t="shared" si="1"/>
        <v>3.2302346127066661</v>
      </c>
      <c r="O39" s="5">
        <f>(G39*1000000)/12/[1]UARL!E42</f>
        <v>8.9215645197447131</v>
      </c>
    </row>
    <row r="40" spans="1:15" x14ac:dyDescent="0.25">
      <c r="A40" s="1" t="s">
        <v>46</v>
      </c>
      <c r="B40" s="1">
        <v>4</v>
      </c>
      <c r="C40" s="1">
        <f>+[1]Validación!B41</f>
        <v>27</v>
      </c>
      <c r="D40" s="5">
        <f>+[1]Validación!K41</f>
        <v>1.1959521452395148</v>
      </c>
      <c r="E40" s="5">
        <f>+[1]Validación!I41</f>
        <v>0.69013033029713566</v>
      </c>
      <c r="F40" s="6">
        <f>+'[1]PR 02'!R43</f>
        <v>666855.72848897241</v>
      </c>
      <c r="G40" s="5">
        <f>+[1]Validación!F41</f>
        <v>1.8860824755366505</v>
      </c>
      <c r="H40" s="7">
        <f>F40/[1]UARL!D43/365</f>
        <v>26.089350205582797</v>
      </c>
      <c r="I40" s="8">
        <v>37.148989898989896</v>
      </c>
      <c r="J40" s="9">
        <f t="shared" si="0"/>
        <v>0.70228962554624352</v>
      </c>
      <c r="K40" s="5">
        <f>[1]VE!F42/12/[1]UARL!E43</f>
        <v>28.065199010718381</v>
      </c>
      <c r="L40" s="5">
        <f>+SUM('[1]VFM 01'!E43,'[1]VFM 02'!E43,'[1]VFM 03'!E43,'[1]VFNM 04-05'!D43)/[1]UARL!E43/12</f>
        <v>14.873318727279946</v>
      </c>
      <c r="M40" s="5">
        <f>+[1]UARL!J43/1000000</f>
        <v>0.2187828295305059</v>
      </c>
      <c r="N40" s="5">
        <f t="shared" si="1"/>
        <v>3.154408103131821</v>
      </c>
      <c r="O40" s="5">
        <f>(G40*1000000)/12/[1]UARL!E43</f>
        <v>13.195662801448595</v>
      </c>
    </row>
    <row r="41" spans="1:15" x14ac:dyDescent="0.25">
      <c r="A41" s="1" t="s">
        <v>47</v>
      </c>
      <c r="B41" s="1">
        <v>4</v>
      </c>
      <c r="C41" s="1">
        <f>+[1]Validación!B42</f>
        <v>28</v>
      </c>
      <c r="D41" s="5">
        <f>+[1]Validación!K42</f>
        <v>1.515815819199958</v>
      </c>
      <c r="E41" s="5">
        <f>+[1]Validación!I42</f>
        <v>0.41685745794422085</v>
      </c>
      <c r="F41" s="6">
        <f>+'[1]PR 02'!R44</f>
        <v>406392.92241396365</v>
      </c>
      <c r="G41" s="5">
        <f>+[1]Validación!F42</f>
        <v>1.9326732771441788</v>
      </c>
      <c r="H41" s="7">
        <f>F41/[1]UARL!D44/365</f>
        <v>26.089350205582789</v>
      </c>
      <c r="I41" s="8">
        <v>27.142597402597403</v>
      </c>
      <c r="J41" s="9">
        <f t="shared" si="0"/>
        <v>0.96119578456725652</v>
      </c>
      <c r="K41" s="5">
        <f>[1]VE!F43/12/[1]UARL!E44</f>
        <v>37.674345797509631</v>
      </c>
      <c r="L41" s="5">
        <f>+SUM('[1]VFM 01'!E44,'[1]VFM 02'!E44,'[1]VFM 03'!E44,'[1]VFNM 04-05'!D44)/[1]UARL!E44/12</f>
        <v>16.125725632551944</v>
      </c>
      <c r="M41" s="5">
        <f>+[1]UARL!J44/1000000</f>
        <v>0.10114387467598723</v>
      </c>
      <c r="N41" s="5">
        <f t="shared" si="1"/>
        <v>4.1214305787633405</v>
      </c>
      <c r="O41" s="5">
        <f>(G41*1000000)/12/[1]UARL!E44</f>
        <v>23.874311655600586</v>
      </c>
    </row>
    <row r="42" spans="1:15" x14ac:dyDescent="0.25">
      <c r="A42" s="1" t="s">
        <v>48</v>
      </c>
      <c r="B42" s="1">
        <v>4</v>
      </c>
      <c r="C42" s="1">
        <f>+[1]Validación!B43</f>
        <v>29</v>
      </c>
      <c r="D42" s="5">
        <f>+[1]Validación!K43</f>
        <v>4.5655779121995694</v>
      </c>
      <c r="E42" s="5">
        <f>+[1]Validación!I43</f>
        <v>1.3257781992270272</v>
      </c>
      <c r="F42" s="6">
        <f>+'[1]PR 02'!R45</f>
        <v>1248117.9032698055</v>
      </c>
      <c r="G42" s="5">
        <f>+[1]Validación!F43</f>
        <v>5.8913561114265969</v>
      </c>
      <c r="H42" s="7">
        <f>F42/[1]UARL!D45/365</f>
        <v>26.089350205582797</v>
      </c>
      <c r="I42" s="8">
        <v>28.623553719008267</v>
      </c>
      <c r="J42" s="9">
        <f t="shared" si="0"/>
        <v>0.91146439962335768</v>
      </c>
      <c r="K42" s="5">
        <f>[1]VE!F44/12/[1]UARL!E45</f>
        <v>43.272500819978006</v>
      </c>
      <c r="L42" s="5">
        <f>+SUM('[1]VFM 01'!E45,'[1]VFM 02'!E45,'[1]VFM 03'!E45,'[1]VFNM 04-05'!D45)/[1]UARL!E45/12</f>
        <v>13.786871565422013</v>
      </c>
      <c r="M42" s="5">
        <f>+[1]UARL!J45/1000000</f>
        <v>0.32336251352482503</v>
      </c>
      <c r="N42" s="5">
        <f t="shared" si="1"/>
        <v>4.0999749314641729</v>
      </c>
      <c r="O42" s="5">
        <f>(G42*1000000)/12/[1]UARL!E45</f>
        <v>28.926840833071122</v>
      </c>
    </row>
    <row r="43" spans="1:15" x14ac:dyDescent="0.25">
      <c r="A43" s="1" t="s">
        <v>49</v>
      </c>
      <c r="B43" s="1">
        <v>4</v>
      </c>
      <c r="C43" s="1">
        <f>+[1]Validación!B44</f>
        <v>36</v>
      </c>
      <c r="D43" s="5">
        <f>+[1]Validación!K44</f>
        <v>1.4561357508922139</v>
      </c>
      <c r="E43" s="5">
        <f>+[1]Validación!I44</f>
        <v>1.9006682609752454</v>
      </c>
      <c r="F43" s="6">
        <f>+'[1]PR 02'!R46</f>
        <v>1772122.0860081597</v>
      </c>
      <c r="G43" s="5">
        <f>+[1]Validación!F44</f>
        <v>3.3568040118674594</v>
      </c>
      <c r="H43" s="7">
        <f>F43/[1]UARL!D46/365</f>
        <v>26.089350205582797</v>
      </c>
      <c r="I43" s="8">
        <v>29.434496290251637</v>
      </c>
      <c r="J43" s="9">
        <f t="shared" si="0"/>
        <v>0.88635286801980318</v>
      </c>
      <c r="K43" s="5">
        <f>[1]VE!F45/12/[1]UARL!E46</f>
        <v>21.368199756503724</v>
      </c>
      <c r="L43" s="5">
        <f>+SUM('[1]VFM 01'!E46,'[1]VFM 02'!E46,'[1]VFM 03'!E46,'[1]VFNM 04-05'!D46)/[1]UARL!E46/12</f>
        <v>14.464603775670339</v>
      </c>
      <c r="M43" s="5">
        <f>+[1]UARL!J46/1000000</f>
        <v>0.51378284456638712</v>
      </c>
      <c r="N43" s="5">
        <f t="shared" si="1"/>
        <v>3.6993610843105049</v>
      </c>
      <c r="O43" s="5">
        <f>(G43*1000000)/12/[1]UARL!E46</f>
        <v>8.1249431483813535</v>
      </c>
    </row>
    <row r="44" spans="1:15" x14ac:dyDescent="0.25">
      <c r="A44" s="1" t="s">
        <v>50</v>
      </c>
      <c r="B44" s="1">
        <v>4</v>
      </c>
      <c r="C44" s="1">
        <f>+[1]Validación!B45</f>
        <v>37</v>
      </c>
      <c r="D44" s="5">
        <f>+[1]Validación!K45</f>
        <v>1.3977551865248694</v>
      </c>
      <c r="E44" s="5">
        <f>+[1]Validación!I45</f>
        <v>2.122982020190519</v>
      </c>
      <c r="F44" s="6">
        <f>+'[1]PR 02'!R47</f>
        <v>2037020.0602501561</v>
      </c>
      <c r="G44" s="5">
        <f>+[1]Validación!F45</f>
        <v>3.5207372067153884</v>
      </c>
      <c r="H44" s="7">
        <f>F44/[1]UARL!D47/365</f>
        <v>26.089350205582789</v>
      </c>
      <c r="I44" s="8">
        <v>27.09484848484848</v>
      </c>
      <c r="J44" s="9">
        <f t="shared" si="0"/>
        <v>0.96288968805904307</v>
      </c>
      <c r="K44" s="5">
        <f>[1]VE!F46/12/[1]UARL!E47</f>
        <v>14.671421522560639</v>
      </c>
      <c r="L44" s="5">
        <f>+SUM('[1]VFM 01'!E47,'[1]VFM 02'!E47,'[1]VFM 03'!E47,'[1]VFNM 04-05'!D47)/[1]UARL!E47/12</f>
        <v>10.398354197613378</v>
      </c>
      <c r="M44" s="5">
        <f>+[1]UARL!J47/1000000</f>
        <v>0.79024495459684774</v>
      </c>
      <c r="N44" s="5">
        <f t="shared" si="1"/>
        <v>2.6864860165713829</v>
      </c>
      <c r="O44" s="5">
        <f>(G44*1000000)/12/[1]UARL!E47</f>
        <v>3.9786657159594578</v>
      </c>
    </row>
    <row r="45" spans="1:15" x14ac:dyDescent="0.25">
      <c r="A45" s="1" t="s">
        <v>51</v>
      </c>
      <c r="B45" s="1">
        <v>5</v>
      </c>
      <c r="C45" s="1">
        <f>+[1]Validación!B46</f>
        <v>1</v>
      </c>
      <c r="D45" s="5">
        <f>+[1]Validación!K46</f>
        <v>7.3066854655770133</v>
      </c>
      <c r="E45" s="5">
        <f>+[1]Validación!I46</f>
        <v>2.6914369017429767</v>
      </c>
      <c r="F45" s="6">
        <f>+'[1]PR 02'!R48</f>
        <v>2565773.439584964</v>
      </c>
      <c r="G45" s="5">
        <f>+[1]Validación!F46</f>
        <v>9.9981223673199899</v>
      </c>
      <c r="H45" s="7">
        <f>F45/[1]UARL!D48/365</f>
        <v>14.080635914549214</v>
      </c>
      <c r="I45" s="8">
        <v>26.044343434343435</v>
      </c>
      <c r="J45" s="9">
        <f t="shared" si="0"/>
        <v>0.54064084779275912</v>
      </c>
      <c r="K45" s="5">
        <f>[1]VE!F47/12/[1]UARL!E48</f>
        <v>14.593938640336113</v>
      </c>
      <c r="L45" s="5">
        <f>+SUM('[1]VFM 01'!E48,'[1]VFM 02'!E48,'[1]VFM 03'!E48,'[1]VFNM 04-05'!D48)/[1]UARL!E48/12</f>
        <v>9.1660831232748698</v>
      </c>
      <c r="M45" s="5">
        <f>+[1]UARL!J48/1000000</f>
        <v>1.7957115845307627</v>
      </c>
      <c r="N45" s="5">
        <f t="shared" si="1"/>
        <v>1.4988135761491319</v>
      </c>
      <c r="O45" s="5">
        <f>(G45*1000000)/12/[1]UARL!E48</f>
        <v>4.7539747684474545</v>
      </c>
    </row>
    <row r="46" spans="1:15" x14ac:dyDescent="0.25">
      <c r="A46" s="1" t="s">
        <v>52</v>
      </c>
      <c r="B46" s="1">
        <v>5</v>
      </c>
      <c r="C46" s="1">
        <f>+[1]Validación!B47</f>
        <v>2</v>
      </c>
      <c r="D46" s="5">
        <f>+[1]Validación!K47</f>
        <v>3.0390336454518909</v>
      </c>
      <c r="E46" s="5">
        <f>+[1]Validación!I47</f>
        <v>7.4690001516186442</v>
      </c>
      <c r="F46" s="6">
        <f>+'[1]PR 02'!R49</f>
        <v>7156719.2786793234</v>
      </c>
      <c r="G46" s="5">
        <f>+[1]Validación!F47</f>
        <v>10.508033797070535</v>
      </c>
      <c r="H46" s="7">
        <f>F46/[1]UARL!D49/365</f>
        <v>30.08926808254548</v>
      </c>
      <c r="I46" s="8">
        <v>25.58461538461539</v>
      </c>
      <c r="J46" s="9">
        <f t="shared" si="0"/>
        <v>1.1760688065937799</v>
      </c>
      <c r="K46" s="5">
        <f>[1]VE!F48/12/[1]UARL!E49</f>
        <v>14.421336607282567</v>
      </c>
      <c r="L46" s="5">
        <f>+SUM('[1]VFM 01'!E49,'[1]VFM 02'!E49,'[1]VFM 03'!E49,'[1]VFNM 04-05'!D49)/[1]UARL!E49/12</f>
        <v>9.7323339707562191</v>
      </c>
      <c r="M46" s="5">
        <f>+[1]UARL!J49/1000000</f>
        <v>2.2414048585891861</v>
      </c>
      <c r="N46" s="5">
        <f t="shared" si="1"/>
        <v>3.3322851616909039</v>
      </c>
      <c r="O46" s="5">
        <f>(G46*1000000)/12/[1]UARL!E49</f>
        <v>3.9147438723616301</v>
      </c>
    </row>
    <row r="47" spans="1:15" x14ac:dyDescent="0.25">
      <c r="A47" s="1" t="s">
        <v>53</v>
      </c>
      <c r="B47" s="1">
        <v>5</v>
      </c>
      <c r="C47" s="1">
        <f>+[1]Validación!B48</f>
        <v>30</v>
      </c>
      <c r="D47" s="5">
        <f>+[1]Validación!K48</f>
        <v>13.667535169888309</v>
      </c>
      <c r="E47" s="5">
        <f>+[1]Validación!I48</f>
        <v>6.7502137188352922</v>
      </c>
      <c r="F47" s="6">
        <f>+'[1]PR 02'!R50</f>
        <v>6522384.1164306067</v>
      </c>
      <c r="G47" s="5">
        <f>+[1]Validación!F48</f>
        <v>20.417748888723601</v>
      </c>
      <c r="H47" s="7">
        <f>F47/[1]UARL!D50/365</f>
        <v>46.097900250541748</v>
      </c>
      <c r="I47" s="8">
        <v>32.339772727272724</v>
      </c>
      <c r="J47" s="9">
        <f t="shared" si="0"/>
        <v>1.4254243726229574</v>
      </c>
      <c r="K47" s="5">
        <f>[1]VE!F49/12/[1]UARL!E50</f>
        <v>18.342356665506216</v>
      </c>
      <c r="L47" s="5">
        <f>+SUM('[1]VFM 01'!E50,'[1]VFM 02'!E50,'[1]VFM 03'!E50,'[1]VFNM 04-05'!D50)/[1]UARL!E50/12</f>
        <v>7.1602972829412295</v>
      </c>
      <c r="M47" s="5">
        <f>+[1]UARL!J50/1000000</f>
        <v>2.325625958471516</v>
      </c>
      <c r="N47" s="5">
        <f t="shared" si="1"/>
        <v>2.9025362802846302</v>
      </c>
      <c r="O47" s="5">
        <f>(G47*1000000)/12/[1]UARL!E50</f>
        <v>9.5539868609884842</v>
      </c>
    </row>
    <row r="49" spans="4:15" x14ac:dyDescent="0.25">
      <c r="D49" s="5">
        <f>SUM(D4:D46)</f>
        <v>89.299740826669151</v>
      </c>
      <c r="E49" s="5">
        <f>SUM(E4:E46)</f>
        <v>73.351988869724394</v>
      </c>
      <c r="F49" s="5">
        <f t="shared" ref="F49" si="2">SUM(F4:F47)</f>
        <v>72993316.244070634</v>
      </c>
      <c r="G49" s="5">
        <f>SUM(G4:G46)</f>
        <v>162.65172969639352</v>
      </c>
      <c r="H49" s="5">
        <f>SUM(F4:F46)/365/SUM([1]UARL!D7:D49)</f>
        <v>23.451955597741424</v>
      </c>
      <c r="I49" s="16"/>
      <c r="J49" s="5">
        <f>H49/25.92</f>
        <v>0.90478223756718457</v>
      </c>
      <c r="K49" s="5">
        <f>SUM([1]VE!F6:F48)/12/SUM([1]UARL!E7:E49)</f>
        <v>17.302361024447734</v>
      </c>
      <c r="L49" s="5">
        <f>(SUM('[1]VFM 01'!E7:E49)+SUM('[1]VFM 02'!E7:E49)+SUM('[1]VFM 03'!E7:E49)+SUM('[1]VFNM 04-05'!D7:D46))/12/SUM([1]UARL!E7:E49)</f>
        <v>10.86388259866046</v>
      </c>
      <c r="M49" s="5">
        <f>SUM(M4:M46)</f>
        <v>25.236965069224897</v>
      </c>
      <c r="N49" s="5">
        <f t="shared" si="1"/>
        <v>2.9065297141918678</v>
      </c>
      <c r="O49" s="5">
        <f>(G49*1000000)/12/SUM([1]UARL!E7:E49)</f>
        <v>6.0984662434789856</v>
      </c>
    </row>
    <row r="50" spans="4:15" x14ac:dyDescent="0.25">
      <c r="D50" s="5">
        <v>103.37090822113825</v>
      </c>
      <c r="E50" s="5">
        <v>80.504439541444668</v>
      </c>
      <c r="F50" s="4"/>
      <c r="G50" s="5">
        <v>183.87534776258292</v>
      </c>
      <c r="H50" s="5">
        <f>SUM(F4:F47)/365/SUM([1]UARL!D7:D50)</f>
        <v>24.528685694704901</v>
      </c>
      <c r="I50" s="5"/>
      <c r="J50" s="5">
        <f>H50/27.46</f>
        <v>0.8932514819630335</v>
      </c>
      <c r="K50" s="5">
        <f>SUM([1]VE!F6:F49)/12/SUM([1]UARL!E7:E50)</f>
        <v>17.37951199397444</v>
      </c>
      <c r="L50" s="5">
        <f>(SUM('[1]VFM 01'!E7:E50)+SUM('[1]VFM 02'!E7:E50)+SUM('[1]VFM 03'!E7:E50)+SUM('[1]VFNM 04-05'!D7:D47))/12/SUM([1]UARL!E7:E50)</f>
        <v>10.60556754801741</v>
      </c>
      <c r="M50" s="5">
        <f>SUM(M4:M47)</f>
        <v>27.562591027696413</v>
      </c>
      <c r="N50" s="5">
        <f>E50/M50</f>
        <v>2.9207863462672781</v>
      </c>
      <c r="O50" s="5">
        <f>(G50*1000000)/12/SUM([1]UARL!E7:E50)</f>
        <v>6.3827841446138782</v>
      </c>
    </row>
  </sheetData>
  <phoneticPr fontId="1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Segura Benavides</dc:creator>
  <cp:lastModifiedBy>Cristian David Segura Benavides</cp:lastModifiedBy>
  <dcterms:created xsi:type="dcterms:W3CDTF">2025-11-22T17:10:37Z</dcterms:created>
  <dcterms:modified xsi:type="dcterms:W3CDTF">2025-11-26T14:31:58Z</dcterms:modified>
</cp:coreProperties>
</file>