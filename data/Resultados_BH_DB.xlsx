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segurab\Documents\DashBoard\data\"/>
    </mc:Choice>
  </mc:AlternateContent>
  <xr:revisionPtr revIDLastSave="0" documentId="13_ncr:1_{DBD753CA-442A-4CC1-A562-8AABD65E0D41}" xr6:coauthVersionLast="47" xr6:coauthVersionMax="47" xr10:uidLastSave="{00000000-0000-0000-0000-000000000000}"/>
  <bookViews>
    <workbookView xWindow="-108" yWindow="-108" windowWidth="23256" windowHeight="12456" xr2:uid="{043429D6-F281-4CAB-A7E9-E0B904354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1" l="1"/>
  <c r="D48" i="1"/>
  <c r="I48" i="1" s="1"/>
  <c r="G48" i="1" l="1"/>
  <c r="M48" i="1"/>
</calcChain>
</file>

<file path=xl/sharedStrings.xml><?xml version="1.0" encoding="utf-8"?>
<sst xmlns="http://schemas.openxmlformats.org/spreadsheetml/2006/main" count="70" uniqueCount="65">
  <si>
    <t>Zona</t>
  </si>
  <si>
    <t>Sector</t>
  </si>
  <si>
    <t>VE (Mm³/año)</t>
  </si>
  <si>
    <t>Consumo autorizado (Mm³/año)</t>
  </si>
  <si>
    <t>Pérdidas totales (Mm³/año)</t>
  </si>
  <si>
    <t>Pérdidas totales (%)</t>
  </si>
  <si>
    <t>Pérdidas Técnicas (Mm³/año)</t>
  </si>
  <si>
    <t>Pérdidas Técnicas (%)</t>
  </si>
  <si>
    <t>Fugas no visibles (Fugas de fondo) (Mm³/año)</t>
  </si>
  <si>
    <t>Fugas visibles (reportadas) (Mm³/año)</t>
  </si>
  <si>
    <t>Pérdidas aparentes (Mm³/año)</t>
  </si>
  <si>
    <t>Pérdidas aparentes (%)</t>
  </si>
  <si>
    <t>Submedición (Mm³/año)</t>
  </si>
  <si>
    <t>Errores en el manejo de datos (Mm³/año)</t>
  </si>
  <si>
    <t>Consumo no autorizado (Mm³/año)</t>
  </si>
  <si>
    <t>Conexiones clandestinas y fraude (mm³/año)</t>
  </si>
  <si>
    <t>Saldo Zona (mm³/año)</t>
  </si>
  <si>
    <t>Z1</t>
  </si>
  <si>
    <t>Z2</t>
  </si>
  <si>
    <t>Z3</t>
  </si>
  <si>
    <t>Z4</t>
  </si>
  <si>
    <t>Z5</t>
  </si>
  <si>
    <t>Bogotá</t>
  </si>
  <si>
    <t>Sector_</t>
  </si>
  <si>
    <t>Z1-05</t>
  </si>
  <si>
    <t>Z1-06</t>
  </si>
  <si>
    <t>Z1-07</t>
  </si>
  <si>
    <t>Z1-08</t>
  </si>
  <si>
    <t>Z1-09</t>
  </si>
  <si>
    <t>Z1-18</t>
  </si>
  <si>
    <t>Z1-31</t>
  </si>
  <si>
    <t>Z1-32</t>
  </si>
  <si>
    <t>Z1-35</t>
  </si>
  <si>
    <t>Z2-04</t>
  </si>
  <si>
    <t>Z2-10</t>
  </si>
  <si>
    <t>Z2-14</t>
  </si>
  <si>
    <t>Z2-16</t>
  </si>
  <si>
    <t>Z2-17</t>
  </si>
  <si>
    <t>Z2-18</t>
  </si>
  <si>
    <t>Z2-19</t>
  </si>
  <si>
    <t>Z2-33</t>
  </si>
  <si>
    <t>Z3-03</t>
  </si>
  <si>
    <t>Z3-11</t>
  </si>
  <si>
    <t>Z3-12</t>
  </si>
  <si>
    <t>Z3-15</t>
  </si>
  <si>
    <t>Z3-16</t>
  </si>
  <si>
    <t>Z3-19</t>
  </si>
  <si>
    <t>Z3-21</t>
  </si>
  <si>
    <t>Z3-25</t>
  </si>
  <si>
    <t>Z4-13</t>
  </si>
  <si>
    <t>Z4-15</t>
  </si>
  <si>
    <t>Z4-20</t>
  </si>
  <si>
    <t>Z4-22</t>
  </si>
  <si>
    <t>Z4-23</t>
  </si>
  <si>
    <t>Z4-24</t>
  </si>
  <si>
    <t>Z4-25</t>
  </si>
  <si>
    <t>Z4-26</t>
  </si>
  <si>
    <t>Z4-27</t>
  </si>
  <si>
    <t>Z4-28</t>
  </si>
  <si>
    <t>Z4-29</t>
  </si>
  <si>
    <t>Z4-36</t>
  </si>
  <si>
    <t>Z4-37</t>
  </si>
  <si>
    <t>Z5-01</t>
  </si>
  <si>
    <t>Z5-02</t>
  </si>
  <si>
    <t>Z5-30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</si>
</sst>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6389-EB72-4513-91DA-315E1226C83F}">
  <dimension ref="A1:S48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4" max="8" width="12.33203125" customWidth="1"/>
    <col min="9" max="9" width="15.88671875" customWidth="1"/>
    <col min="10" max="14" width="12.33203125" customWidth="1"/>
    <col min="15" max="15" width="17.88671875" customWidth="1"/>
    <col min="16" max="16" width="16" customWidth="1"/>
    <col min="17" max="17" width="12.33203125" customWidth="1"/>
    <col min="18" max="18" width="12.33203125" hidden="1" customWidth="1"/>
  </cols>
  <sheetData>
    <row r="1" spans="1:19" ht="66" x14ac:dyDescent="0.3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9" x14ac:dyDescent="0.3">
      <c r="A2" s="25">
        <v>1</v>
      </c>
      <c r="B2" s="3">
        <v>5</v>
      </c>
      <c r="C2" s="31" t="s">
        <v>24</v>
      </c>
      <c r="D2" s="4">
        <v>31.27894360697</v>
      </c>
      <c r="E2" s="4">
        <v>23.520528738792812</v>
      </c>
      <c r="F2" s="4">
        <v>10.053404418725389</v>
      </c>
      <c r="G2" s="5">
        <v>0.32141125176891056</v>
      </c>
      <c r="H2" s="6">
        <v>4.2835687074257187</v>
      </c>
      <c r="I2" s="7">
        <v>0.13694735862087093</v>
      </c>
      <c r="J2" s="6">
        <v>3.8682772095920761</v>
      </c>
      <c r="K2" s="6">
        <v>0.41529149783364289</v>
      </c>
      <c r="L2" s="4">
        <v>5.7698357112996694</v>
      </c>
      <c r="M2" s="8">
        <v>0.18446389314803957</v>
      </c>
      <c r="N2" s="6">
        <v>4.0117439632990921</v>
      </c>
      <c r="O2" s="6">
        <v>1.1222758487806046</v>
      </c>
      <c r="P2" s="6">
        <v>0.11823295892426708</v>
      </c>
      <c r="Q2" s="6">
        <v>0.51758294029570628</v>
      </c>
      <c r="R2" s="26">
        <v>1.8214376595866</v>
      </c>
      <c r="S2" s="9"/>
    </row>
    <row r="3" spans="1:19" x14ac:dyDescent="0.3">
      <c r="A3" s="25"/>
      <c r="B3" s="10">
        <v>6</v>
      </c>
      <c r="C3" s="24" t="s">
        <v>25</v>
      </c>
      <c r="D3" s="4">
        <v>19.549234335799998</v>
      </c>
      <c r="E3" s="4">
        <v>13.92483338437548</v>
      </c>
      <c r="F3" s="4">
        <v>5.6466425888278868</v>
      </c>
      <c r="G3" s="11">
        <v>0.28884213528953095</v>
      </c>
      <c r="H3" s="6">
        <v>2.0733086804869485</v>
      </c>
      <c r="I3" s="8">
        <v>9.2396587577819031E-2</v>
      </c>
      <c r="J3" s="6">
        <v>1.9031627488085967</v>
      </c>
      <c r="K3" s="6">
        <v>0.17014593167835182</v>
      </c>
      <c r="L3" s="4">
        <v>3.5733339083409383</v>
      </c>
      <c r="M3" s="8">
        <v>0.15924491249863953</v>
      </c>
      <c r="N3" s="6">
        <v>2.5981695637575202</v>
      </c>
      <c r="O3" s="6">
        <v>0.63017889763549606</v>
      </c>
      <c r="P3" s="6">
        <v>2.1497853658536584E-2</v>
      </c>
      <c r="Q3" s="6">
        <v>0.3234875932893857</v>
      </c>
      <c r="R3" s="27"/>
      <c r="S3" s="9"/>
    </row>
    <row r="4" spans="1:19" x14ac:dyDescent="0.3">
      <c r="A4" s="25"/>
      <c r="B4" s="3">
        <v>7</v>
      </c>
      <c r="C4" s="24" t="s">
        <v>26</v>
      </c>
      <c r="D4" s="4">
        <v>24.55081641252</v>
      </c>
      <c r="E4" s="4">
        <v>17.522456424973317</v>
      </c>
      <c r="F4" s="4">
        <v>7.7628280115906954</v>
      </c>
      <c r="G4" s="11">
        <v>0.31619429191902321</v>
      </c>
      <c r="H4" s="6">
        <v>2.8918903482633267</v>
      </c>
      <c r="I4" s="8">
        <v>0.1177920236814842</v>
      </c>
      <c r="J4" s="6">
        <v>2.5839534766998429</v>
      </c>
      <c r="K4" s="6">
        <v>0.30793687156348387</v>
      </c>
      <c r="L4" s="4">
        <v>4.8709376633273687</v>
      </c>
      <c r="M4" s="8">
        <v>0.19840226823753904</v>
      </c>
      <c r="N4" s="6">
        <v>3.4251618575633316</v>
      </c>
      <c r="O4" s="6">
        <v>1.0181595395237724</v>
      </c>
      <c r="P4" s="6">
        <v>2.1365853658536584E-2</v>
      </c>
      <c r="Q4" s="6">
        <v>0.40625041258172856</v>
      </c>
      <c r="R4" s="27"/>
      <c r="S4" s="9"/>
    </row>
    <row r="5" spans="1:19" x14ac:dyDescent="0.3">
      <c r="A5" s="25"/>
      <c r="B5" s="12">
        <v>8</v>
      </c>
      <c r="C5" s="24" t="s">
        <v>27</v>
      </c>
      <c r="D5" s="13">
        <v>10.09538930457</v>
      </c>
      <c r="E5" s="4">
        <v>7.0759923355095609</v>
      </c>
      <c r="F5" s="4">
        <v>3.1010984041408989</v>
      </c>
      <c r="G5" s="14">
        <v>0.30717967485781728</v>
      </c>
      <c r="H5" s="6">
        <v>1.1032750305516181</v>
      </c>
      <c r="I5" s="15">
        <v>9.3534431298860618E-2</v>
      </c>
      <c r="J5" s="6">
        <v>0.9547828873037365</v>
      </c>
      <c r="K5" s="6">
        <v>0.14849214324788171</v>
      </c>
      <c r="L5" s="4">
        <v>1.9978233735892805</v>
      </c>
      <c r="M5" s="15">
        <v>0.16937324593561695</v>
      </c>
      <c r="N5" s="6">
        <v>1.4328583679979341</v>
      </c>
      <c r="O5" s="6">
        <v>0.37654743351976172</v>
      </c>
      <c r="P5" s="6">
        <v>2.1365853658536584E-2</v>
      </c>
      <c r="Q5" s="6">
        <v>0.16705171841304819</v>
      </c>
      <c r="R5" s="27"/>
      <c r="S5" s="9"/>
    </row>
    <row r="6" spans="1:19" x14ac:dyDescent="0.3">
      <c r="A6" s="25"/>
      <c r="B6" s="3">
        <v>9</v>
      </c>
      <c r="C6" s="24" t="s">
        <v>28</v>
      </c>
      <c r="D6" s="4">
        <v>11.561509227967498</v>
      </c>
      <c r="E6" s="4">
        <v>8.3667027040121269</v>
      </c>
      <c r="F6" s="4">
        <v>3.3160502532406912</v>
      </c>
      <c r="G6" s="11">
        <v>0.28681811239825905</v>
      </c>
      <c r="H6" s="6">
        <v>1.1419619265575094</v>
      </c>
      <c r="I6" s="8">
        <v>9.8772738406425614E-2</v>
      </c>
      <c r="J6" s="6">
        <v>0.88184676164904896</v>
      </c>
      <c r="K6" s="6">
        <v>0.26011516490846059</v>
      </c>
      <c r="L6" s="4">
        <v>2.1740883266831816</v>
      </c>
      <c r="M6" s="8">
        <v>0.18804537399183344</v>
      </c>
      <c r="N6" s="6">
        <v>1.5134674692638648</v>
      </c>
      <c r="O6" s="6">
        <v>0.44666584705327239</v>
      </c>
      <c r="P6" s="6">
        <v>2.2642924649251987E-2</v>
      </c>
      <c r="Q6" s="6">
        <v>0.19131208571679237</v>
      </c>
      <c r="R6" s="27"/>
      <c r="S6" s="9"/>
    </row>
    <row r="7" spans="1:19" x14ac:dyDescent="0.3">
      <c r="A7" s="25"/>
      <c r="B7" s="3">
        <v>18</v>
      </c>
      <c r="C7" s="24" t="s">
        <v>29</v>
      </c>
      <c r="D7" s="4">
        <v>3.4398018352599999</v>
      </c>
      <c r="E7" s="4">
        <v>1.3924468063101758</v>
      </c>
      <c r="F7" s="4">
        <v>0.97433270522186188</v>
      </c>
      <c r="G7" s="11">
        <v>0.28325256857368247</v>
      </c>
      <c r="H7" s="6">
        <v>0.59929132715060396</v>
      </c>
      <c r="I7" s="8">
        <v>0.17422263137588742</v>
      </c>
      <c r="J7" s="6">
        <v>0.58090089694281466</v>
      </c>
      <c r="K7" s="6">
        <v>1.839043020778925E-2</v>
      </c>
      <c r="L7" s="4">
        <v>0.37504137807125792</v>
      </c>
      <c r="M7" s="8">
        <v>0.10902993719779504</v>
      </c>
      <c r="N7" s="6">
        <v>0.22264635366198282</v>
      </c>
      <c r="O7" s="6">
        <v>7.4109641424571979E-2</v>
      </c>
      <c r="P7" s="6">
        <v>2.1365853658536584E-2</v>
      </c>
      <c r="Q7" s="6">
        <v>5.6919529326166507E-2</v>
      </c>
      <c r="R7" s="27"/>
      <c r="S7" s="9"/>
    </row>
    <row r="8" spans="1:19" x14ac:dyDescent="0.3">
      <c r="A8" s="25"/>
      <c r="B8" s="3">
        <v>31</v>
      </c>
      <c r="C8" s="24" t="s">
        <v>30</v>
      </c>
      <c r="D8" s="4">
        <v>4.1048942648525504</v>
      </c>
      <c r="E8" s="4">
        <v>3.05328957072948</v>
      </c>
      <c r="F8" s="4">
        <v>1.3475842917788174</v>
      </c>
      <c r="G8" s="11">
        <v>0.3282872115165732</v>
      </c>
      <c r="H8" s="6">
        <v>0.6157342814641269</v>
      </c>
      <c r="I8" s="8">
        <v>0.13790568039005088</v>
      </c>
      <c r="J8" s="6">
        <v>0.58414479998031199</v>
      </c>
      <c r="K8" s="6">
        <v>3.1589481483814803E-2</v>
      </c>
      <c r="L8" s="4">
        <v>0.73185001031469066</v>
      </c>
      <c r="M8" s="8">
        <v>0.16391205858463023</v>
      </c>
      <c r="N8" s="6">
        <v>0.39181146178177884</v>
      </c>
      <c r="O8" s="6">
        <v>0.12439345530644523</v>
      </c>
      <c r="P8" s="6">
        <v>0.14772006129757734</v>
      </c>
      <c r="Q8" s="6">
        <v>6.7925031928889296E-2</v>
      </c>
      <c r="R8" s="27"/>
      <c r="S8" s="9"/>
    </row>
    <row r="9" spans="1:19" x14ac:dyDescent="0.3">
      <c r="A9" s="25"/>
      <c r="B9" s="10">
        <v>32</v>
      </c>
      <c r="C9" s="24" t="s">
        <v>31</v>
      </c>
      <c r="D9" s="4">
        <v>0.1162678</v>
      </c>
      <c r="E9" s="4">
        <v>0.22877606748432969</v>
      </c>
      <c r="F9" s="4">
        <v>0.16962297680641991</v>
      </c>
      <c r="G9" s="11">
        <v>1.4588989970260029</v>
      </c>
      <c r="H9" s="6">
        <v>0.1094321866399821</v>
      </c>
      <c r="I9" s="8">
        <v>0.14663929843949061</v>
      </c>
      <c r="J9" s="6">
        <v>0.1081362915316009</v>
      </c>
      <c r="K9" s="6">
        <v>1.2958951083811981E-3</v>
      </c>
      <c r="L9" s="4">
        <v>6.0190790166437823E-2</v>
      </c>
      <c r="M9" s="8">
        <v>8.0655751415829299E-2</v>
      </c>
      <c r="N9" s="6">
        <v>1.4894883895785548E-2</v>
      </c>
      <c r="O9" s="6">
        <v>1.8610634251184026E-2</v>
      </c>
      <c r="P9" s="6">
        <v>2.4761350593544413E-2</v>
      </c>
      <c r="Q9" s="6">
        <v>1.9239214259238406E-3</v>
      </c>
      <c r="R9" s="27"/>
      <c r="S9" s="9"/>
    </row>
    <row r="10" spans="1:19" x14ac:dyDescent="0.3">
      <c r="A10" s="25"/>
      <c r="B10" s="10">
        <v>35</v>
      </c>
      <c r="C10" s="24" t="s">
        <v>32</v>
      </c>
      <c r="D10" s="4">
        <v>5.3775707140000009</v>
      </c>
      <c r="E10" s="4">
        <v>4.1799634921747923</v>
      </c>
      <c r="F10" s="4">
        <v>1.6798407690905468</v>
      </c>
      <c r="G10" s="11">
        <v>0.31237911288032699</v>
      </c>
      <c r="H10" s="6">
        <v>0.64928840314944181</v>
      </c>
      <c r="I10" s="8">
        <v>0.10736350740742107</v>
      </c>
      <c r="J10" s="6">
        <v>0.59351821970296437</v>
      </c>
      <c r="K10" s="6">
        <v>5.5770183446477384E-2</v>
      </c>
      <c r="L10" s="4">
        <v>1.0305523659411049</v>
      </c>
      <c r="M10" s="8">
        <v>0.17040765865794633</v>
      </c>
      <c r="N10" s="6">
        <v>0.7476299259906104</v>
      </c>
      <c r="O10" s="6">
        <v>0.16022748187870256</v>
      </c>
      <c r="P10" s="6">
        <v>3.3710531462832538E-2</v>
      </c>
      <c r="Q10" s="6">
        <v>8.8984426608959388E-2</v>
      </c>
      <c r="R10" s="28"/>
      <c r="S10" s="9"/>
    </row>
    <row r="11" spans="1:19" x14ac:dyDescent="0.3">
      <c r="A11" s="25">
        <v>2</v>
      </c>
      <c r="B11" s="3">
        <v>4</v>
      </c>
      <c r="C11" s="24" t="s">
        <v>33</v>
      </c>
      <c r="D11" s="4">
        <v>40.905907931199998</v>
      </c>
      <c r="E11" s="4">
        <v>25.893624568193765</v>
      </c>
      <c r="F11" s="4">
        <v>14.732704230446902</v>
      </c>
      <c r="G11" s="11">
        <v>0.36016079279369539</v>
      </c>
      <c r="H11" s="6">
        <v>7.4948522913660964</v>
      </c>
      <c r="I11" s="8">
        <v>0.18322175623070763</v>
      </c>
      <c r="J11" s="6">
        <v>6.7947951449644348</v>
      </c>
      <c r="K11" s="6">
        <v>0.70005714640166161</v>
      </c>
      <c r="L11" s="4">
        <v>7.237851939080806</v>
      </c>
      <c r="M11" s="8">
        <v>0.17693903656298773</v>
      </c>
      <c r="N11" s="6">
        <v>4.8124152822839577</v>
      </c>
      <c r="O11" s="6">
        <v>1.2658948176203855</v>
      </c>
      <c r="P11" s="6">
        <v>3.1597867549419706E-2</v>
      </c>
      <c r="Q11" s="6">
        <v>1.1279439716270436</v>
      </c>
      <c r="R11" s="26">
        <v>2.41494939551038</v>
      </c>
      <c r="S11" s="9"/>
    </row>
    <row r="12" spans="1:19" x14ac:dyDescent="0.3">
      <c r="A12" s="25"/>
      <c r="B12" s="3">
        <v>10</v>
      </c>
      <c r="C12" s="24" t="s">
        <v>34</v>
      </c>
      <c r="D12" s="4">
        <v>8.3758659969</v>
      </c>
      <c r="E12" s="4">
        <v>4.8782013008464915</v>
      </c>
      <c r="F12" s="4">
        <v>3.2459600903876478</v>
      </c>
      <c r="G12" s="11">
        <v>0.38753725186016746</v>
      </c>
      <c r="H12" s="6">
        <v>1.9738679412639701</v>
      </c>
      <c r="I12" s="8">
        <v>0.23566135632954496</v>
      </c>
      <c r="J12" s="6">
        <v>1.7188672480071967</v>
      </c>
      <c r="K12" s="6">
        <v>0.25500069325677366</v>
      </c>
      <c r="L12" s="4">
        <v>1.2720921491236774</v>
      </c>
      <c r="M12" s="8">
        <v>0.15187589553062247</v>
      </c>
      <c r="N12" s="6">
        <v>0.81541614832502607</v>
      </c>
      <c r="O12" s="6">
        <v>0.20435310361845183</v>
      </c>
      <c r="P12" s="6">
        <v>2.1365853658536584E-2</v>
      </c>
      <c r="Q12" s="6">
        <v>0.23095704352166294</v>
      </c>
      <c r="R12" s="27"/>
      <c r="S12" s="9"/>
    </row>
    <row r="13" spans="1:19" x14ac:dyDescent="0.3">
      <c r="A13" s="25"/>
      <c r="B13" s="3">
        <v>14</v>
      </c>
      <c r="C13" s="24" t="s">
        <v>35</v>
      </c>
      <c r="D13" s="4">
        <v>3.0827427277999999</v>
      </c>
      <c r="E13" s="4">
        <v>2.3651202871001957</v>
      </c>
      <c r="F13" s="4">
        <v>1.0468885301110518</v>
      </c>
      <c r="G13" s="11">
        <v>0.33959646410654709</v>
      </c>
      <c r="H13" s="6">
        <v>0.29561841728819543</v>
      </c>
      <c r="I13" s="8">
        <v>9.5894611841048305E-2</v>
      </c>
      <c r="J13" s="6">
        <v>0.15296875935190105</v>
      </c>
      <c r="K13" s="6">
        <v>0.14264965793629442</v>
      </c>
      <c r="L13" s="4">
        <v>0.75127011282285627</v>
      </c>
      <c r="M13" s="8">
        <v>0.24370185226549876</v>
      </c>
      <c r="N13" s="6">
        <v>0.48698049567508789</v>
      </c>
      <c r="O13" s="6">
        <v>0.15223187892205903</v>
      </c>
      <c r="P13" s="6">
        <v>2.7053853658536579E-2</v>
      </c>
      <c r="Q13" s="6">
        <v>8.5003884567172699E-2</v>
      </c>
      <c r="R13" s="27"/>
      <c r="S13" s="9"/>
    </row>
    <row r="14" spans="1:19" x14ac:dyDescent="0.3">
      <c r="A14" s="25"/>
      <c r="B14" s="10">
        <v>16</v>
      </c>
      <c r="C14" s="24" t="s">
        <v>36</v>
      </c>
      <c r="D14" s="4">
        <v>2.846571752</v>
      </c>
      <c r="E14" s="4">
        <v>1.9862845063987695</v>
      </c>
      <c r="F14" s="4">
        <v>1.4794117556237179</v>
      </c>
      <c r="G14" s="11">
        <v>0.5197170085680376</v>
      </c>
      <c r="H14" s="6">
        <v>0.68534846280977435</v>
      </c>
      <c r="I14" s="8">
        <v>0.1932425200260757</v>
      </c>
      <c r="J14" s="6">
        <v>0.60806975497586058</v>
      </c>
      <c r="K14" s="6">
        <v>7.7278707833913732E-2</v>
      </c>
      <c r="L14" s="4">
        <v>0.7940632928139435</v>
      </c>
      <c r="M14" s="8">
        <v>0.2238960179971409</v>
      </c>
      <c r="N14" s="6">
        <v>0.55887218705641106</v>
      </c>
      <c r="O14" s="6">
        <v>0.13533357180497915</v>
      </c>
      <c r="P14" s="6">
        <v>2.1365853658536584E-2</v>
      </c>
      <c r="Q14" s="6">
        <v>7.8491680294016694E-2</v>
      </c>
      <c r="R14" s="27"/>
      <c r="S14" s="9"/>
    </row>
    <row r="15" spans="1:19" x14ac:dyDescent="0.3">
      <c r="A15" s="25"/>
      <c r="B15" s="3">
        <v>17</v>
      </c>
      <c r="C15" s="24" t="s">
        <v>37</v>
      </c>
      <c r="D15" s="4">
        <v>19.395596239</v>
      </c>
      <c r="E15" s="4">
        <v>12.228990191829553</v>
      </c>
      <c r="F15" s="4">
        <v>8.3994211950113744</v>
      </c>
      <c r="G15" s="11">
        <v>0.43305815874441161</v>
      </c>
      <c r="H15" s="6">
        <v>4.6684598304067322</v>
      </c>
      <c r="I15" s="8">
        <v>0.24069689701106239</v>
      </c>
      <c r="J15" s="6">
        <v>4.1710691481113003</v>
      </c>
      <c r="K15" s="6">
        <v>0.49739068229543165</v>
      </c>
      <c r="L15" s="4">
        <v>3.7309613646046422</v>
      </c>
      <c r="M15" s="8">
        <v>0.19236126173334919</v>
      </c>
      <c r="N15" s="6">
        <v>2.5090541695590578</v>
      </c>
      <c r="O15" s="6">
        <v>0.66572505297492934</v>
      </c>
      <c r="P15" s="6">
        <v>2.1365853658536584E-2</v>
      </c>
      <c r="Q15" s="6">
        <v>0.53481628841211826</v>
      </c>
      <c r="R15" s="27"/>
      <c r="S15" s="9"/>
    </row>
    <row r="16" spans="1:19" x14ac:dyDescent="0.3">
      <c r="A16" s="25"/>
      <c r="B16" s="10">
        <v>18</v>
      </c>
      <c r="C16" s="24" t="s">
        <v>38</v>
      </c>
      <c r="D16" s="4">
        <v>3.2115837569999997</v>
      </c>
      <c r="E16" s="4">
        <v>2.8399795552922629</v>
      </c>
      <c r="F16" s="4">
        <v>1.5192979430020954</v>
      </c>
      <c r="G16" s="11">
        <v>0.47306813645778928</v>
      </c>
      <c r="H16" s="6">
        <v>0.55911741030534134</v>
      </c>
      <c r="I16" s="8">
        <v>0.13150803142118161</v>
      </c>
      <c r="J16" s="6">
        <v>0.48486628620889849</v>
      </c>
      <c r="K16" s="6">
        <v>7.4251124096442855E-2</v>
      </c>
      <c r="L16" s="4">
        <v>0.96018053269675407</v>
      </c>
      <c r="M16" s="8">
        <v>0.22584067198861352</v>
      </c>
      <c r="N16" s="6">
        <v>0.72270091797633651</v>
      </c>
      <c r="O16" s="6">
        <v>0.12755719988797484</v>
      </c>
      <c r="P16" s="6">
        <v>2.1365853658536584E-2</v>
      </c>
      <c r="Q16" s="6">
        <v>8.8556561173906062E-2</v>
      </c>
      <c r="R16" s="27"/>
      <c r="S16" s="9"/>
    </row>
    <row r="17" spans="1:19" x14ac:dyDescent="0.3">
      <c r="A17" s="25"/>
      <c r="B17" s="3">
        <v>19</v>
      </c>
      <c r="C17" s="24" t="s">
        <v>39</v>
      </c>
      <c r="D17" s="4">
        <v>8.7187224985000018</v>
      </c>
      <c r="E17" s="4">
        <v>4.1051619731614322</v>
      </c>
      <c r="F17" s="4">
        <v>2.6157768766508802</v>
      </c>
      <c r="G17" s="11">
        <v>0.30001836589029035</v>
      </c>
      <c r="H17" s="6">
        <v>0.65749963250671495</v>
      </c>
      <c r="I17" s="8">
        <v>7.5412382102978209E-2</v>
      </c>
      <c r="J17" s="6">
        <v>0.54183003241972083</v>
      </c>
      <c r="K17" s="6">
        <v>0.11566960008699408</v>
      </c>
      <c r="L17" s="4">
        <v>1.9582772441441654</v>
      </c>
      <c r="M17" s="8">
        <v>0.2246059837873122</v>
      </c>
      <c r="N17" s="6">
        <v>1.4504807807401503</v>
      </c>
      <c r="O17" s="6">
        <v>0.24601960361373748</v>
      </c>
      <c r="P17" s="6">
        <v>2.1365853658536584E-2</v>
      </c>
      <c r="Q17" s="6">
        <v>0.24041100613174096</v>
      </c>
      <c r="R17" s="27"/>
      <c r="S17" s="9"/>
    </row>
    <row r="18" spans="1:19" x14ac:dyDescent="0.3">
      <c r="A18" s="25"/>
      <c r="B18" s="3">
        <v>33</v>
      </c>
      <c r="C18" s="24" t="s">
        <v>40</v>
      </c>
      <c r="D18" s="4">
        <v>1.0433323371999998</v>
      </c>
      <c r="E18" s="4">
        <v>0.50740117757725145</v>
      </c>
      <c r="F18" s="4">
        <v>0.33624613216450122</v>
      </c>
      <c r="G18" s="11">
        <v>0.32228094555842862</v>
      </c>
      <c r="H18" s="6">
        <v>0.12186215627849287</v>
      </c>
      <c r="I18" s="8">
        <v>0.11680090028220097</v>
      </c>
      <c r="J18" s="6">
        <v>0.10638656133998861</v>
      </c>
      <c r="K18" s="6">
        <v>1.5475594938504268E-2</v>
      </c>
      <c r="L18" s="4">
        <v>0.21438397588600835</v>
      </c>
      <c r="M18" s="8">
        <v>0.20548004527622762</v>
      </c>
      <c r="N18" s="6">
        <v>6.4832642790099843E-2</v>
      </c>
      <c r="O18" s="6">
        <v>5.7757733551681172E-2</v>
      </c>
      <c r="P18" s="6">
        <v>6.3024639761508461E-2</v>
      </c>
      <c r="Q18" s="6">
        <v>2.8768959782718876E-2</v>
      </c>
      <c r="R18" s="28"/>
      <c r="S18" s="9"/>
    </row>
    <row r="19" spans="1:19" x14ac:dyDescent="0.3">
      <c r="A19" s="25">
        <v>3</v>
      </c>
      <c r="B19" s="10">
        <v>3</v>
      </c>
      <c r="C19" s="24" t="s">
        <v>41</v>
      </c>
      <c r="D19" s="4">
        <v>18.425066125999997</v>
      </c>
      <c r="E19" s="4">
        <v>13.612662307788682</v>
      </c>
      <c r="F19" s="4">
        <v>6.8854019176737715</v>
      </c>
      <c r="G19" s="11">
        <v>0.37369754173949132</v>
      </c>
      <c r="H19" s="6">
        <v>3.275387054812712</v>
      </c>
      <c r="I19" s="8">
        <v>0.16984059237405763</v>
      </c>
      <c r="J19" s="6">
        <v>2.8597659134821654</v>
      </c>
      <c r="K19" s="6">
        <v>0.41562114133054651</v>
      </c>
      <c r="L19" s="4">
        <v>3.6100148628610595</v>
      </c>
      <c r="M19" s="8">
        <v>0.18719224706178539</v>
      </c>
      <c r="N19" s="6">
        <v>2.4228234901084451</v>
      </c>
      <c r="O19" s="6">
        <v>0.63760642050929073</v>
      </c>
      <c r="P19" s="6">
        <v>5.8327409480485815E-2</v>
      </c>
      <c r="Q19" s="6">
        <v>0.49125754276283762</v>
      </c>
      <c r="R19" s="26">
        <v>2.4234638426205501</v>
      </c>
      <c r="S19" s="9"/>
    </row>
    <row r="20" spans="1:19" x14ac:dyDescent="0.3">
      <c r="A20" s="25"/>
      <c r="B20" s="3">
        <v>11</v>
      </c>
      <c r="C20" s="24" t="s">
        <v>42</v>
      </c>
      <c r="D20" s="4">
        <v>32.509807492999997</v>
      </c>
      <c r="E20" s="4">
        <v>22.103521325178843</v>
      </c>
      <c r="F20" s="4">
        <v>10.067336721418094</v>
      </c>
      <c r="G20" s="11">
        <v>0.30967075777319786</v>
      </c>
      <c r="H20" s="6">
        <v>4.3866259171353148</v>
      </c>
      <c r="I20" s="8">
        <v>0.13493238672913835</v>
      </c>
      <c r="J20" s="6">
        <v>3.7582083220747728</v>
      </c>
      <c r="K20" s="6">
        <v>0.62841759506054262</v>
      </c>
      <c r="L20" s="4">
        <v>5.6807108042827794</v>
      </c>
      <c r="M20" s="8">
        <v>0.17473837104405951</v>
      </c>
      <c r="N20" s="6">
        <v>3.8276688000136949</v>
      </c>
      <c r="O20" s="6">
        <v>0.95445576326492787</v>
      </c>
      <c r="P20" s="6">
        <v>3.1794879958917749E-2</v>
      </c>
      <c r="Q20" s="6">
        <v>0.8667913610452388</v>
      </c>
      <c r="R20" s="27"/>
      <c r="S20" s="9"/>
    </row>
    <row r="21" spans="1:19" x14ac:dyDescent="0.3">
      <c r="A21" s="25"/>
      <c r="B21" s="10">
        <v>12</v>
      </c>
      <c r="C21" s="24" t="s">
        <v>43</v>
      </c>
      <c r="D21" s="4">
        <v>9.9739925369000009</v>
      </c>
      <c r="E21" s="4">
        <v>8.8288835453126033</v>
      </c>
      <c r="F21" s="4">
        <v>4.0565826477139959</v>
      </c>
      <c r="G21" s="11">
        <v>0.40671602998560247</v>
      </c>
      <c r="H21" s="6">
        <v>1.7806909817469216</v>
      </c>
      <c r="I21" s="8">
        <v>0.14567179883099832</v>
      </c>
      <c r="J21" s="6">
        <v>1.4829135857595783</v>
      </c>
      <c r="K21" s="6">
        <v>0.2977773959873431</v>
      </c>
      <c r="L21" s="4">
        <v>2.275891665967074</v>
      </c>
      <c r="M21" s="8">
        <v>0.18618235074153924</v>
      </c>
      <c r="N21" s="6">
        <v>1.6691096119511499</v>
      </c>
      <c r="O21" s="6">
        <v>0.31305785747808818</v>
      </c>
      <c r="P21" s="6">
        <v>2.7793044285515687E-2</v>
      </c>
      <c r="Q21" s="6">
        <v>0.26593115225232034</v>
      </c>
      <c r="R21" s="27"/>
      <c r="S21" s="9"/>
    </row>
    <row r="22" spans="1:19" x14ac:dyDescent="0.3">
      <c r="A22" s="25"/>
      <c r="B22" s="3">
        <v>15</v>
      </c>
      <c r="C22" s="24" t="s">
        <v>44</v>
      </c>
      <c r="D22" s="4">
        <v>2.8364269988375992</v>
      </c>
      <c r="E22" s="4">
        <v>1.2341859723775144</v>
      </c>
      <c r="F22" s="4">
        <v>1.0094111058924669</v>
      </c>
      <c r="G22" s="11">
        <v>0.35587417067533744</v>
      </c>
      <c r="H22" s="6">
        <v>0.57162170381080135</v>
      </c>
      <c r="I22" s="8">
        <v>0.20152879099129242</v>
      </c>
      <c r="J22" s="6">
        <v>0.48834408514640693</v>
      </c>
      <c r="K22" s="6">
        <v>8.3277618664394551E-2</v>
      </c>
      <c r="L22" s="4">
        <v>0.43778940208166539</v>
      </c>
      <c r="M22" s="8">
        <v>0.15434537968404496</v>
      </c>
      <c r="N22" s="6">
        <v>0.20972708724846809</v>
      </c>
      <c r="O22" s="6">
        <v>8.192933225152943E-2</v>
      </c>
      <c r="P22" s="6">
        <v>7.0506868235795842E-2</v>
      </c>
      <c r="Q22" s="6">
        <v>7.562611434587202E-2</v>
      </c>
      <c r="R22" s="27"/>
      <c r="S22" s="9"/>
    </row>
    <row r="23" spans="1:19" x14ac:dyDescent="0.3">
      <c r="A23" s="25"/>
      <c r="B23" s="3">
        <v>16</v>
      </c>
      <c r="C23" s="24" t="s">
        <v>45</v>
      </c>
      <c r="D23" s="4">
        <v>10.011633685199998</v>
      </c>
      <c r="E23" s="4">
        <v>5.6539827116634473</v>
      </c>
      <c r="F23" s="4">
        <v>2.5977100789284604</v>
      </c>
      <c r="G23" s="11">
        <v>0.2594691496522295</v>
      </c>
      <c r="H23" s="6">
        <v>1.1065601811645216</v>
      </c>
      <c r="I23" s="8">
        <v>0.11052743397916444</v>
      </c>
      <c r="J23" s="6">
        <v>0.94727853471287615</v>
      </c>
      <c r="K23" s="6">
        <v>0.15928164645164516</v>
      </c>
      <c r="L23" s="4">
        <v>1.4911498977639388</v>
      </c>
      <c r="M23" s="8">
        <v>0.14894171567306508</v>
      </c>
      <c r="N23" s="6">
        <v>1.0004795593424989</v>
      </c>
      <c r="O23" s="6">
        <v>0.20236972699328537</v>
      </c>
      <c r="P23" s="6">
        <v>2.1365853658536584E-2</v>
      </c>
      <c r="Q23" s="6">
        <v>0.266934757769618</v>
      </c>
      <c r="R23" s="27"/>
      <c r="S23" s="9"/>
    </row>
    <row r="24" spans="1:19" x14ac:dyDescent="0.3">
      <c r="A24" s="25"/>
      <c r="B24" s="3">
        <v>19</v>
      </c>
      <c r="C24" s="24" t="s">
        <v>46</v>
      </c>
      <c r="D24" s="4">
        <v>15.498071110000001</v>
      </c>
      <c r="E24" s="4">
        <v>7.7713534872479899</v>
      </c>
      <c r="F24" s="4">
        <v>6.2468031253117857</v>
      </c>
      <c r="G24" s="11">
        <v>0.40306971628753774</v>
      </c>
      <c r="H24" s="6">
        <v>3.9158227690398952</v>
      </c>
      <c r="I24" s="8">
        <v>0.25266516982963405</v>
      </c>
      <c r="J24" s="6">
        <v>3.6208748895865295</v>
      </c>
      <c r="K24" s="6">
        <v>0.29494787945336537</v>
      </c>
      <c r="L24" s="4">
        <v>2.3309803562718905</v>
      </c>
      <c r="M24" s="8">
        <v>0.15040454645790372</v>
      </c>
      <c r="N24" s="6">
        <v>1.5394418980239424</v>
      </c>
      <c r="O24" s="6">
        <v>0.34613194208209536</v>
      </c>
      <c r="P24" s="6">
        <v>3.2189853658536584E-2</v>
      </c>
      <c r="Q24" s="6">
        <v>0.41321666250731615</v>
      </c>
      <c r="R24" s="27"/>
      <c r="S24" s="9"/>
    </row>
    <row r="25" spans="1:19" x14ac:dyDescent="0.3">
      <c r="A25" s="25"/>
      <c r="B25" s="3">
        <v>21</v>
      </c>
      <c r="C25" s="24" t="s">
        <v>47</v>
      </c>
      <c r="D25" s="4">
        <v>0.88255954905999989</v>
      </c>
      <c r="E25" s="4">
        <v>0.37616486038415309</v>
      </c>
      <c r="F25" s="4">
        <v>0.40395325828973472</v>
      </c>
      <c r="G25" s="11">
        <v>0.45770651818336666</v>
      </c>
      <c r="H25" s="6">
        <v>0.23164666198117714</v>
      </c>
      <c r="I25" s="8">
        <v>0.26247142442444854</v>
      </c>
      <c r="J25" s="6">
        <v>0.18279084078432134</v>
      </c>
      <c r="K25" s="6">
        <v>4.8855821196855789E-2</v>
      </c>
      <c r="L25" s="4">
        <v>0.1723065963085576</v>
      </c>
      <c r="M25" s="8">
        <v>0.19523509375891815</v>
      </c>
      <c r="N25" s="6">
        <v>4.7868427760474445E-2</v>
      </c>
      <c r="O25" s="6">
        <v>3.8912868709468473E-2</v>
      </c>
      <c r="P25" s="6">
        <v>6.1994093358911338E-2</v>
      </c>
      <c r="Q25" s="6">
        <v>2.3531206479703335E-2</v>
      </c>
      <c r="R25" s="27"/>
      <c r="S25" s="9"/>
    </row>
    <row r="26" spans="1:19" x14ac:dyDescent="0.3">
      <c r="A26" s="25"/>
      <c r="B26" s="3">
        <v>25</v>
      </c>
      <c r="C26" s="24" t="s">
        <v>48</v>
      </c>
      <c r="D26" s="4">
        <v>0.75668364206999994</v>
      </c>
      <c r="E26" s="4">
        <v>0.27378460371680868</v>
      </c>
      <c r="F26" s="4">
        <v>0.27975722383266843</v>
      </c>
      <c r="G26" s="11">
        <v>0.36971490895106257</v>
      </c>
      <c r="H26" s="6">
        <v>0.17355699086159018</v>
      </c>
      <c r="I26" s="8">
        <v>0.22936532681848912</v>
      </c>
      <c r="J26" s="6">
        <v>0.15855547766337413</v>
      </c>
      <c r="K26" s="6">
        <v>1.5001513198216063E-2</v>
      </c>
      <c r="L26" s="4">
        <v>0.10620023297107828</v>
      </c>
      <c r="M26" s="8">
        <v>0.14034958213257345</v>
      </c>
      <c r="N26" s="6">
        <v>3.5267968746855942E-2</v>
      </c>
      <c r="O26" s="6">
        <v>2.4219637835314702E-2</v>
      </c>
      <c r="P26" s="6">
        <v>2.6537580931263852E-2</v>
      </c>
      <c r="Q26" s="6">
        <v>2.017504545764379E-2</v>
      </c>
      <c r="R26" s="28"/>
      <c r="S26" s="9"/>
    </row>
    <row r="27" spans="1:19" x14ac:dyDescent="0.3">
      <c r="A27" s="25">
        <v>4</v>
      </c>
      <c r="B27" s="3">
        <v>13</v>
      </c>
      <c r="C27" s="24" t="s">
        <v>49</v>
      </c>
      <c r="D27" s="4">
        <v>13.766046917999999</v>
      </c>
      <c r="E27" s="4">
        <v>7.5895809032544781</v>
      </c>
      <c r="F27" s="4">
        <v>4.5751819702217711</v>
      </c>
      <c r="G27" s="11">
        <v>0.33235263525358349</v>
      </c>
      <c r="H27" s="6">
        <v>1.4567806647839292</v>
      </c>
      <c r="I27" s="8">
        <v>0.10582418274915902</v>
      </c>
      <c r="J27" s="6">
        <v>1.2984441757178262</v>
      </c>
      <c r="K27" s="6">
        <v>0.15833648906610298</v>
      </c>
      <c r="L27" s="4">
        <v>3.1184013054378421</v>
      </c>
      <c r="M27" s="8">
        <v>0.22652845250442449</v>
      </c>
      <c r="N27" s="6">
        <v>1.0780078875322379</v>
      </c>
      <c r="O27" s="6">
        <v>0.26129504629560418</v>
      </c>
      <c r="P27" s="6">
        <v>2.1629853658536584E-2</v>
      </c>
      <c r="Q27" s="6">
        <v>1.7574685179514633</v>
      </c>
      <c r="R27" s="26">
        <v>13.215859655914493</v>
      </c>
      <c r="S27" s="9"/>
    </row>
    <row r="28" spans="1:19" x14ac:dyDescent="0.3">
      <c r="A28" s="25"/>
      <c r="B28" s="3">
        <v>15</v>
      </c>
      <c r="C28" s="24" t="s">
        <v>50</v>
      </c>
      <c r="D28" s="4">
        <v>21.803708842999999</v>
      </c>
      <c r="E28" s="4">
        <v>11.571617062338575</v>
      </c>
      <c r="F28" s="4">
        <v>8.7827726329630842</v>
      </c>
      <c r="G28" s="11">
        <v>0.40281094818337576</v>
      </c>
      <c r="H28" s="6">
        <v>3.4791051912749102</v>
      </c>
      <c r="I28" s="8">
        <v>0.15956483441998742</v>
      </c>
      <c r="J28" s="6">
        <v>3.1484107313337133</v>
      </c>
      <c r="K28" s="6">
        <v>0.33069445994119684</v>
      </c>
      <c r="L28" s="4">
        <v>5.3036674416881748</v>
      </c>
      <c r="M28" s="8">
        <v>0.24324611376338837</v>
      </c>
      <c r="N28" s="6">
        <v>1.6716899856764935</v>
      </c>
      <c r="O28" s="6">
        <v>0.65461403717942734</v>
      </c>
      <c r="P28" s="6">
        <v>0.19375152978316057</v>
      </c>
      <c r="Q28" s="6">
        <v>2.7836118890490935</v>
      </c>
      <c r="R28" s="27"/>
      <c r="S28" s="9"/>
    </row>
    <row r="29" spans="1:19" x14ac:dyDescent="0.3">
      <c r="A29" s="25"/>
      <c r="B29" s="3">
        <v>20</v>
      </c>
      <c r="C29" s="24" t="s">
        <v>51</v>
      </c>
      <c r="D29" s="4">
        <v>3.2592233409999993</v>
      </c>
      <c r="E29" s="4">
        <v>2.2321379912160006</v>
      </c>
      <c r="F29" s="4">
        <v>1.2115727460606316</v>
      </c>
      <c r="G29" s="11">
        <v>0.37173664376400029</v>
      </c>
      <c r="H29" s="6">
        <v>0.31550192338020228</v>
      </c>
      <c r="I29" s="8">
        <v>7.6038790262893757E-2</v>
      </c>
      <c r="J29" s="6">
        <v>0.26024220219292177</v>
      </c>
      <c r="K29" s="6">
        <v>5.5259721187280432E-2</v>
      </c>
      <c r="L29" s="4">
        <v>0.89607082268042926</v>
      </c>
      <c r="M29" s="8">
        <v>0.21596109658065987</v>
      </c>
      <c r="N29" s="6">
        <v>0.32860180173088654</v>
      </c>
      <c r="O29" s="6">
        <v>0.11152823103952646</v>
      </c>
      <c r="P29" s="6">
        <v>3.984585365853658E-2</v>
      </c>
      <c r="Q29" s="6">
        <v>0.41609493625147959</v>
      </c>
      <c r="R29" s="27"/>
      <c r="S29" s="9"/>
    </row>
    <row r="30" spans="1:19" x14ac:dyDescent="0.3">
      <c r="A30" s="25"/>
      <c r="B30" s="3">
        <v>22</v>
      </c>
      <c r="C30" s="24" t="s">
        <v>52</v>
      </c>
      <c r="D30" s="4">
        <v>3.5793784830000002</v>
      </c>
      <c r="E30" s="4">
        <v>1.8796903170912811</v>
      </c>
      <c r="F30" s="4">
        <v>1.6458047665269615</v>
      </c>
      <c r="G30" s="11">
        <v>0.45980182714501761</v>
      </c>
      <c r="H30" s="6">
        <v>0.71370414317334097</v>
      </c>
      <c r="I30" s="8">
        <v>0.19939331550519937</v>
      </c>
      <c r="J30" s="6">
        <v>0.60600500288021453</v>
      </c>
      <c r="K30" s="6">
        <v>0.10769914029312649</v>
      </c>
      <c r="L30" s="4">
        <v>0.93210062335362065</v>
      </c>
      <c r="M30" s="8">
        <v>0.26040851163981826</v>
      </c>
      <c r="N30" s="6">
        <v>0.26753418775517235</v>
      </c>
      <c r="O30" s="6">
        <v>0.14445490505081365</v>
      </c>
      <c r="P30" s="6">
        <v>6.3143380200860577E-2</v>
      </c>
      <c r="Q30" s="6">
        <v>0.45696815034677402</v>
      </c>
      <c r="R30" s="27"/>
      <c r="S30" s="9"/>
    </row>
    <row r="31" spans="1:19" x14ac:dyDescent="0.3">
      <c r="A31" s="25"/>
      <c r="B31" s="3">
        <v>23</v>
      </c>
      <c r="C31" s="24" t="s">
        <v>53</v>
      </c>
      <c r="D31" s="4">
        <v>3.8683115660000005</v>
      </c>
      <c r="E31" s="4">
        <v>1.3273845034543335</v>
      </c>
      <c r="F31" s="4">
        <v>2.474575291622561</v>
      </c>
      <c r="G31" s="11">
        <v>0.63970423514292507</v>
      </c>
      <c r="H31" s="6">
        <v>1.5879011598193686</v>
      </c>
      <c r="I31" s="8">
        <v>0.41048946878426507</v>
      </c>
      <c r="J31" s="6">
        <v>1.5595603777467888</v>
      </c>
      <c r="K31" s="6">
        <v>2.8340782072579826E-2</v>
      </c>
      <c r="L31" s="4">
        <v>0.88667413180319232</v>
      </c>
      <c r="M31" s="8">
        <v>0.22921476635866</v>
      </c>
      <c r="N31" s="6">
        <v>0.22093264211830799</v>
      </c>
      <c r="O31" s="6">
        <v>0.12639457984839897</v>
      </c>
      <c r="P31" s="6">
        <v>4.5491568839272176E-2</v>
      </c>
      <c r="Q31" s="6">
        <v>0.49385534099721323</v>
      </c>
      <c r="R31" s="27"/>
      <c r="S31" s="9"/>
    </row>
    <row r="32" spans="1:19" x14ac:dyDescent="0.3">
      <c r="A32" s="25"/>
      <c r="B32" s="3">
        <v>24</v>
      </c>
      <c r="C32" s="24" t="s">
        <v>54</v>
      </c>
      <c r="D32" s="4">
        <v>2.8719493499999995</v>
      </c>
      <c r="E32" s="4">
        <v>1.1136518898960146</v>
      </c>
      <c r="F32" s="4">
        <v>1.330558400286747</v>
      </c>
      <c r="G32" s="11">
        <v>0.46329452164145835</v>
      </c>
      <c r="H32" s="6">
        <v>0.47894712540327833</v>
      </c>
      <c r="I32" s="8">
        <v>0.16676726050314167</v>
      </c>
      <c r="J32" s="6">
        <v>0.44889453014866459</v>
      </c>
      <c r="K32" s="6">
        <v>3.005259525461372E-2</v>
      </c>
      <c r="L32" s="4">
        <v>0.85161127488346866</v>
      </c>
      <c r="M32" s="8">
        <v>0.29652726113831668</v>
      </c>
      <c r="N32" s="6">
        <v>0.18381948709823273</v>
      </c>
      <c r="O32" s="6">
        <v>0.16223414989794147</v>
      </c>
      <c r="P32" s="6">
        <v>0.13890477103004029</v>
      </c>
      <c r="Q32" s="6">
        <v>0.36665286685725418</v>
      </c>
      <c r="R32" s="27"/>
      <c r="S32" s="9"/>
    </row>
    <row r="33" spans="1:19" x14ac:dyDescent="0.3">
      <c r="A33" s="25"/>
      <c r="B33" s="10">
        <v>25</v>
      </c>
      <c r="C33" s="24" t="s">
        <v>55</v>
      </c>
      <c r="D33" s="4">
        <v>0.23966888300000003</v>
      </c>
      <c r="E33" s="4">
        <v>0.1906890568896191</v>
      </c>
      <c r="F33" s="4">
        <v>0.19821502951703507</v>
      </c>
      <c r="G33" s="11">
        <v>0.82703698133827008</v>
      </c>
      <c r="H33" s="6">
        <v>8.0258152572207461E-2</v>
      </c>
      <c r="I33" s="8">
        <v>0.10705813512097909</v>
      </c>
      <c r="J33" s="6">
        <v>7.6698088463070024E-2</v>
      </c>
      <c r="K33" s="6">
        <v>3.5600641091374247E-3</v>
      </c>
      <c r="L33" s="4">
        <v>0.11795687694482761</v>
      </c>
      <c r="M33" s="8">
        <v>0.15734530219900777</v>
      </c>
      <c r="N33" s="6">
        <v>1.7403929471241645E-2</v>
      </c>
      <c r="O33" s="6">
        <v>4.4101310797592656E-2</v>
      </c>
      <c r="P33" s="6">
        <v>2.5853853658536582E-2</v>
      </c>
      <c r="Q33" s="6">
        <v>3.0597783017456717E-2</v>
      </c>
      <c r="R33" s="27"/>
      <c r="S33" s="9"/>
    </row>
    <row r="34" spans="1:19" x14ac:dyDescent="0.3">
      <c r="A34" s="25"/>
      <c r="B34" s="3">
        <v>26</v>
      </c>
      <c r="C34" s="24" t="s">
        <v>56</v>
      </c>
      <c r="D34" s="4">
        <v>16.444699526000001</v>
      </c>
      <c r="E34" s="4">
        <v>8.9950147207227698</v>
      </c>
      <c r="F34" s="4">
        <v>8.1172745968116669</v>
      </c>
      <c r="G34" s="11">
        <v>0.49361039306177629</v>
      </c>
      <c r="H34" s="6">
        <v>3.25664789285387</v>
      </c>
      <c r="I34" s="8">
        <v>0.19803632700645732</v>
      </c>
      <c r="J34" s="6">
        <v>3.0833677236611718</v>
      </c>
      <c r="K34" s="6">
        <v>0.1732801691926984</v>
      </c>
      <c r="L34" s="4">
        <v>4.8606267039577968</v>
      </c>
      <c r="M34" s="8">
        <v>0.295574066055319</v>
      </c>
      <c r="N34" s="6">
        <v>1.4258526908555507</v>
      </c>
      <c r="O34" s="6">
        <v>1.0180843790038376</v>
      </c>
      <c r="P34" s="6">
        <v>0.31724584487767238</v>
      </c>
      <c r="Q34" s="6">
        <v>2.0994437892207363</v>
      </c>
      <c r="R34" s="27"/>
      <c r="S34" s="9"/>
    </row>
    <row r="35" spans="1:19" x14ac:dyDescent="0.3">
      <c r="A35" s="25"/>
      <c r="B35" s="3">
        <v>27</v>
      </c>
      <c r="C35" s="24" t="s">
        <v>57</v>
      </c>
      <c r="D35" s="4">
        <v>4.0114150249999998</v>
      </c>
      <c r="E35" s="4">
        <v>2.1253325494633493</v>
      </c>
      <c r="F35" s="4">
        <v>1.5783161964099048</v>
      </c>
      <c r="G35" s="11">
        <v>0.39345622095283073</v>
      </c>
      <c r="H35" s="6">
        <v>0.69013033029713566</v>
      </c>
      <c r="I35" s="8">
        <v>0.17204161773241991</v>
      </c>
      <c r="J35" s="6">
        <v>0.66685572848897245</v>
      </c>
      <c r="K35" s="6">
        <v>2.3274601808163299E-2</v>
      </c>
      <c r="L35" s="4">
        <v>0.88818586611276906</v>
      </c>
      <c r="M35" s="8">
        <v>0.22141460322041076</v>
      </c>
      <c r="N35" s="6">
        <v>0.26376566963882581</v>
      </c>
      <c r="O35" s="6">
        <v>8.0501427008477719E-2</v>
      </c>
      <c r="P35" s="6">
        <v>3.1793853658536583E-2</v>
      </c>
      <c r="Q35" s="6">
        <v>0.51212491580692887</v>
      </c>
      <c r="R35" s="27"/>
      <c r="S35" s="9"/>
    </row>
    <row r="36" spans="1:19" x14ac:dyDescent="0.3">
      <c r="A36" s="25"/>
      <c r="B36" s="3">
        <v>28</v>
      </c>
      <c r="C36" s="24" t="s">
        <v>58</v>
      </c>
      <c r="D36" s="4">
        <v>3.0498136409999996</v>
      </c>
      <c r="E36" s="4">
        <v>1.1171403638558208</v>
      </c>
      <c r="F36" s="4">
        <v>1.0557042336283518</v>
      </c>
      <c r="G36" s="11">
        <v>0.34615368606004338</v>
      </c>
      <c r="H36" s="6">
        <v>0.41685745794422085</v>
      </c>
      <c r="I36" s="8">
        <v>0.13668292788130423</v>
      </c>
      <c r="J36" s="6">
        <v>0.40639292241396363</v>
      </c>
      <c r="K36" s="6">
        <v>1.0464535530257234E-2</v>
      </c>
      <c r="L36" s="4">
        <v>0.63884677568413095</v>
      </c>
      <c r="M36" s="8">
        <v>0.20947075817873917</v>
      </c>
      <c r="N36" s="6">
        <v>0.13703476526460412</v>
      </c>
      <c r="O36" s="6">
        <v>8.1994370726575339E-2</v>
      </c>
      <c r="P36" s="6">
        <v>3.0457390406866201E-2</v>
      </c>
      <c r="Q36" s="6">
        <v>0.38936024928608531</v>
      </c>
      <c r="R36" s="27"/>
      <c r="S36" s="9"/>
    </row>
    <row r="37" spans="1:19" x14ac:dyDescent="0.3">
      <c r="A37" s="25"/>
      <c r="B37" s="3">
        <v>29</v>
      </c>
      <c r="C37" s="24" t="s">
        <v>59</v>
      </c>
      <c r="D37" s="4">
        <v>8.813050607000001</v>
      </c>
      <c r="E37" s="4">
        <v>2.9216944955734041</v>
      </c>
      <c r="F37" s="4">
        <v>4.3877620748413504</v>
      </c>
      <c r="G37" s="11">
        <v>0.49787097232327854</v>
      </c>
      <c r="H37" s="6">
        <v>1.3257781992270272</v>
      </c>
      <c r="I37" s="8">
        <v>0.15043351710405389</v>
      </c>
      <c r="J37" s="6">
        <v>1.2481179032698055</v>
      </c>
      <c r="K37" s="6">
        <v>7.7660295957221681E-2</v>
      </c>
      <c r="L37" s="4">
        <v>3.0619838756143234</v>
      </c>
      <c r="M37" s="8">
        <v>0.34743745521922464</v>
      </c>
      <c r="N37" s="6">
        <v>0.36573266886025246</v>
      </c>
      <c r="O37" s="6">
        <v>0.44763335452390218</v>
      </c>
      <c r="P37" s="6">
        <v>1.1234830127823159</v>
      </c>
      <c r="Q37" s="6">
        <v>1.1251348394478529</v>
      </c>
      <c r="R37" s="27"/>
      <c r="S37" s="9"/>
    </row>
    <row r="38" spans="1:19" x14ac:dyDescent="0.3">
      <c r="A38" s="25"/>
      <c r="B38" s="3">
        <v>36</v>
      </c>
      <c r="C38" s="24" t="s">
        <v>60</v>
      </c>
      <c r="D38" s="4">
        <v>8.8282289930000015</v>
      </c>
      <c r="E38" s="4">
        <v>5.4714249811325422</v>
      </c>
      <c r="F38" s="4">
        <v>4.2028477866105245</v>
      </c>
      <c r="G38" s="11">
        <v>0.47606918555726274</v>
      </c>
      <c r="H38" s="6">
        <v>1.9006682609752454</v>
      </c>
      <c r="I38" s="8">
        <v>0.21529439964485583</v>
      </c>
      <c r="J38" s="6">
        <v>1.7721220860081597</v>
      </c>
      <c r="K38" s="6">
        <v>0.12854617496708573</v>
      </c>
      <c r="L38" s="4">
        <v>2.3021795256352791</v>
      </c>
      <c r="M38" s="8">
        <v>0.26077478591240694</v>
      </c>
      <c r="N38" s="6">
        <v>0.71717063611900345</v>
      </c>
      <c r="O38" s="6">
        <v>0.30368255172232195</v>
      </c>
      <c r="P38" s="6">
        <v>0.15425372087757921</v>
      </c>
      <c r="Q38" s="6">
        <v>1.1270726169163747</v>
      </c>
      <c r="R38" s="27"/>
      <c r="S38" s="9"/>
    </row>
    <row r="39" spans="1:19" x14ac:dyDescent="0.3">
      <c r="A39" s="25"/>
      <c r="B39" s="3">
        <v>37</v>
      </c>
      <c r="C39" s="24" t="s">
        <v>61</v>
      </c>
      <c r="D39" s="4">
        <v>12.982799590999999</v>
      </c>
      <c r="E39" s="4">
        <v>9.4620623842846108</v>
      </c>
      <c r="F39" s="4">
        <v>5.9698944561284257</v>
      </c>
      <c r="G39" s="11">
        <v>0.4598310567981736</v>
      </c>
      <c r="H39" s="6">
        <v>2.122982020190519</v>
      </c>
      <c r="I39" s="8">
        <v>0.15107182070326866</v>
      </c>
      <c r="J39" s="6">
        <v>2.037020060250156</v>
      </c>
      <c r="K39" s="6">
        <v>8.5961959940362778E-2</v>
      </c>
      <c r="L39" s="4">
        <v>3.8469124359379063</v>
      </c>
      <c r="M39" s="8">
        <v>0.27374705026047835</v>
      </c>
      <c r="N39" s="6">
        <v>1.6877270150225814</v>
      </c>
      <c r="O39" s="6">
        <v>0.48021380649100859</v>
      </c>
      <c r="P39" s="6">
        <v>2.1497853658536584E-2</v>
      </c>
      <c r="Q39" s="6">
        <v>1.6574737607657801</v>
      </c>
      <c r="R39" s="28"/>
      <c r="S39" s="9"/>
    </row>
    <row r="40" spans="1:19" x14ac:dyDescent="0.3">
      <c r="A40" s="25">
        <v>5</v>
      </c>
      <c r="B40" s="3">
        <v>1</v>
      </c>
      <c r="C40" s="24" t="s">
        <v>62</v>
      </c>
      <c r="D40" s="4">
        <v>30.692629106000002</v>
      </c>
      <c r="E40" s="4">
        <v>20.694506738680012</v>
      </c>
      <c r="F40" s="4">
        <v>7.5831484970261611</v>
      </c>
      <c r="G40" s="11">
        <v>0.24706741383532232</v>
      </c>
      <c r="H40" s="6">
        <v>2.6914369017429767</v>
      </c>
      <c r="I40" s="8">
        <v>8.7690008322448873E-2</v>
      </c>
      <c r="J40" s="6">
        <v>2.5657734395849641</v>
      </c>
      <c r="K40" s="6">
        <v>0.12566346215801269</v>
      </c>
      <c r="L40" s="4">
        <v>4.8917115952831844</v>
      </c>
      <c r="M40" s="8">
        <v>0.15937740551287344</v>
      </c>
      <c r="N40" s="6">
        <v>3.3628220050352997</v>
      </c>
      <c r="O40" s="6">
        <v>0.88386290318823135</v>
      </c>
      <c r="P40" s="6">
        <v>0.32177530009646216</v>
      </c>
      <c r="Q40" s="6">
        <v>0.32325138696319161</v>
      </c>
      <c r="R40" s="29">
        <v>0.73094126338357601</v>
      </c>
      <c r="S40" s="9"/>
    </row>
    <row r="41" spans="1:19" x14ac:dyDescent="0.3">
      <c r="A41" s="25"/>
      <c r="B41" s="10">
        <v>2</v>
      </c>
      <c r="C41" s="24" t="s">
        <v>63</v>
      </c>
      <c r="D41" s="4">
        <v>38.710040148000012</v>
      </c>
      <c r="E41" s="4">
        <v>28.202006350929476</v>
      </c>
      <c r="F41" s="4">
        <v>13.687647654493247</v>
      </c>
      <c r="G41" s="11">
        <v>0.35359425105634851</v>
      </c>
      <c r="H41" s="6">
        <v>7.4690001516186442</v>
      </c>
      <c r="I41" s="8">
        <v>0.18401066183687095</v>
      </c>
      <c r="J41" s="6">
        <v>7.156719278679323</v>
      </c>
      <c r="K41" s="6">
        <v>0.31228087293932105</v>
      </c>
      <c r="L41" s="4">
        <v>6.2186475028746022</v>
      </c>
      <c r="M41" s="8">
        <v>0.15320624173319555</v>
      </c>
      <c r="N41" s="6">
        <v>4.8485224213339349</v>
      </c>
      <c r="O41" s="6">
        <v>0.87805169681308259</v>
      </c>
      <c r="P41" s="6">
        <v>8.4383508307200011E-2</v>
      </c>
      <c r="Q41" s="6">
        <v>0.4076898764203844</v>
      </c>
      <c r="R41" s="29"/>
      <c r="S41" s="9"/>
    </row>
    <row r="42" spans="1:19" x14ac:dyDescent="0.3">
      <c r="A42" s="25"/>
      <c r="B42" s="16">
        <v>30</v>
      </c>
      <c r="C42" s="24" t="s">
        <v>64</v>
      </c>
      <c r="D42" s="4">
        <v>39.199303691000004</v>
      </c>
      <c r="E42" s="4">
        <v>18.781554802276403</v>
      </c>
      <c r="F42" s="4">
        <v>20.417748888723601</v>
      </c>
      <c r="G42" s="8">
        <v>0.52087019324813744</v>
      </c>
      <c r="H42" s="4">
        <v>6.7502137188352922</v>
      </c>
      <c r="I42" s="8">
        <v>0.17220238839051402</v>
      </c>
      <c r="J42" s="4">
        <v>6.5223841164306071</v>
      </c>
      <c r="K42" s="4">
        <v>0.22782960240468497</v>
      </c>
      <c r="L42" s="4">
        <v>13.667535169888309</v>
      </c>
      <c r="M42" s="11">
        <v>0.34866780485762344</v>
      </c>
      <c r="N42" s="4">
        <v>3.3932823341768681</v>
      </c>
      <c r="O42" s="4">
        <v>1.5188532856443104</v>
      </c>
      <c r="P42" s="4">
        <v>2.1365853658536584E-2</v>
      </c>
      <c r="Q42" s="4">
        <v>8.7340336964085932</v>
      </c>
      <c r="R42" s="4">
        <v>9.4649749597921691</v>
      </c>
      <c r="S42" s="9"/>
    </row>
    <row r="43" spans="1:19" x14ac:dyDescent="0.3">
      <c r="A43" s="30" t="s">
        <v>17</v>
      </c>
      <c r="B43" s="30"/>
      <c r="D43" s="18">
        <v>110.07442750194004</v>
      </c>
      <c r="E43" s="18">
        <v>79.264989524362079</v>
      </c>
      <c r="F43" s="18">
        <v>34.051404419423207</v>
      </c>
      <c r="G43" s="19">
        <v>0.30934891229684625</v>
      </c>
      <c r="H43" s="18">
        <v>13.467750891689276</v>
      </c>
      <c r="I43" s="20">
        <v>0.1223513144454184</v>
      </c>
      <c r="J43" s="18">
        <v>12.058723292210992</v>
      </c>
      <c r="K43" s="18">
        <v>1.4090275994782837</v>
      </c>
      <c r="L43" s="18">
        <v>20.583653527733933</v>
      </c>
      <c r="M43" s="20">
        <v>0.18699759785142786</v>
      </c>
      <c r="N43" s="18">
        <v>14.358383847211901</v>
      </c>
      <c r="O43" s="18">
        <v>3.9711687793738109</v>
      </c>
      <c r="P43" s="18">
        <v>0.43266324156161967</v>
      </c>
      <c r="Q43" s="18">
        <v>1.8214376595866006</v>
      </c>
      <c r="R43" s="21"/>
      <c r="S43" s="9"/>
    </row>
    <row r="44" spans="1:19" x14ac:dyDescent="0.3">
      <c r="A44" s="30" t="s">
        <v>18</v>
      </c>
      <c r="B44" s="30" t="s">
        <v>18</v>
      </c>
      <c r="D44" s="18">
        <v>87.580323239599991</v>
      </c>
      <c r="E44" s="18">
        <v>54.804763560399714</v>
      </c>
      <c r="F44" s="18">
        <v>33.375706753398177</v>
      </c>
      <c r="G44" s="19">
        <v>0.38108681857784171</v>
      </c>
      <c r="H44" s="18">
        <v>16.456626142225314</v>
      </c>
      <c r="I44" s="20">
        <v>0.18790323594951461</v>
      </c>
      <c r="J44" s="18">
        <v>14.578852935379302</v>
      </c>
      <c r="K44" s="18">
        <v>1.8777732068460162</v>
      </c>
      <c r="L44" s="18">
        <v>16.919080611172852</v>
      </c>
      <c r="M44" s="20">
        <v>0.19318358262832699</v>
      </c>
      <c r="N44" s="18">
        <v>11.420752624406127</v>
      </c>
      <c r="O44" s="18">
        <v>2.8548729619941988</v>
      </c>
      <c r="P44" s="18">
        <v>0.22850562926214765</v>
      </c>
      <c r="Q44" s="18">
        <v>2.4149493955103805</v>
      </c>
      <c r="R44" s="22"/>
      <c r="S44" s="9"/>
    </row>
    <row r="45" spans="1:19" x14ac:dyDescent="0.3">
      <c r="A45" s="30" t="s">
        <v>19</v>
      </c>
      <c r="B45" s="30" t="s">
        <v>19</v>
      </c>
      <c r="D45" s="18">
        <v>90.894241141067596</v>
      </c>
      <c r="E45" s="18">
        <v>59.854538813670047</v>
      </c>
      <c r="F45" s="18">
        <v>31.54695607906098</v>
      </c>
      <c r="G45" s="19">
        <v>0.34707321039294664</v>
      </c>
      <c r="H45" s="18">
        <v>15.441912260552934</v>
      </c>
      <c r="I45" s="20">
        <v>0.1698887857657245</v>
      </c>
      <c r="J45" s="18">
        <v>13.498731649210022</v>
      </c>
      <c r="K45" s="18">
        <v>1.9431806113429089</v>
      </c>
      <c r="L45" s="18">
        <v>16.105043818508044</v>
      </c>
      <c r="M45" s="20">
        <v>0.17718442462722211</v>
      </c>
      <c r="N45" s="18">
        <v>10.752386843195531</v>
      </c>
      <c r="O45" s="18">
        <v>2.5986835491240003</v>
      </c>
      <c r="P45" s="18">
        <v>0.33050958356796339</v>
      </c>
      <c r="Q45" s="18">
        <v>2.4234638426205501</v>
      </c>
      <c r="R45" s="21"/>
      <c r="S45" s="9"/>
    </row>
    <row r="46" spans="1:19" x14ac:dyDescent="0.3">
      <c r="A46" s="30" t="s">
        <v>20</v>
      </c>
      <c r="B46" s="30" t="s">
        <v>20</v>
      </c>
      <c r="C46" s="17"/>
      <c r="D46" s="18">
        <v>103.518294767</v>
      </c>
      <c r="E46" s="18">
        <v>55.997421219172793</v>
      </c>
      <c r="F46" s="18">
        <v>45.530480181629017</v>
      </c>
      <c r="G46" s="19">
        <v>0.43983027622421206</v>
      </c>
      <c r="H46" s="18">
        <v>17.825262521895258</v>
      </c>
      <c r="I46" s="20">
        <v>0.17219432141938326</v>
      </c>
      <c r="J46" s="18">
        <v>16.612131532575429</v>
      </c>
      <c r="K46" s="18">
        <v>1.2131309893198268</v>
      </c>
      <c r="L46" s="18">
        <v>27.705217659733762</v>
      </c>
      <c r="M46" s="20">
        <v>0.26763595480482882</v>
      </c>
      <c r="N46" s="18">
        <v>8.3652733671433914</v>
      </c>
      <c r="O46" s="18">
        <v>3.9167321495854281</v>
      </c>
      <c r="P46" s="18">
        <v>2.20735248709045</v>
      </c>
      <c r="Q46" s="18">
        <v>13.215859655914493</v>
      </c>
      <c r="R46" s="23"/>
      <c r="S46" s="9"/>
    </row>
    <row r="47" spans="1:19" x14ac:dyDescent="0.3">
      <c r="A47" s="30" t="s">
        <v>21</v>
      </c>
      <c r="B47" s="30" t="s">
        <v>21</v>
      </c>
      <c r="C47" s="17"/>
      <c r="D47" s="6">
        <v>108.60197294500003</v>
      </c>
      <c r="E47" s="18">
        <v>67.678067891885888</v>
      </c>
      <c r="F47" s="18">
        <v>41.688545040243014</v>
      </c>
      <c r="G47" s="19">
        <v>0.38386544838697917</v>
      </c>
      <c r="H47" s="18">
        <v>16.910650772196913</v>
      </c>
      <c r="I47" s="20">
        <v>0.15571218748264434</v>
      </c>
      <c r="J47" s="18">
        <v>16.244876834694896</v>
      </c>
      <c r="K47" s="18">
        <v>0.66577393750201874</v>
      </c>
      <c r="L47" s="18">
        <v>24.777894268046097</v>
      </c>
      <c r="M47" s="20">
        <v>0.22815326090433477</v>
      </c>
      <c r="N47" s="18">
        <v>11.604626760546102</v>
      </c>
      <c r="O47" s="18">
        <v>3.2807678856456244</v>
      </c>
      <c r="P47" s="18">
        <v>0.42752466206219875</v>
      </c>
      <c r="Q47" s="18">
        <v>9.4649749597921691</v>
      </c>
      <c r="R47" s="21"/>
      <c r="S47" s="9"/>
    </row>
    <row r="48" spans="1:19" x14ac:dyDescent="0.3">
      <c r="A48" s="30" t="s">
        <v>22</v>
      </c>
      <c r="B48" s="30" t="s">
        <v>22</v>
      </c>
      <c r="C48" s="17"/>
      <c r="D48" s="18">
        <f>SUM(D43:D47)-D42</f>
        <v>461.46995590360763</v>
      </c>
      <c r="E48" s="18">
        <f>SUM(E43:E47)-E42</f>
        <v>298.81822620721414</v>
      </c>
      <c r="F48" s="18">
        <v>165.77534358503081</v>
      </c>
      <c r="G48" s="19">
        <f>F48/D48</f>
        <v>0.35923323168552745</v>
      </c>
      <c r="H48" s="18">
        <v>73.351988869724394</v>
      </c>
      <c r="I48" s="19">
        <f>H48/D48</f>
        <v>0.15895290241830226</v>
      </c>
      <c r="J48" s="18">
        <v>66.47093212764004</v>
      </c>
      <c r="K48" s="18">
        <v>6.8810567420843691</v>
      </c>
      <c r="L48" s="18">
        <v>92.423354715306388</v>
      </c>
      <c r="M48" s="19">
        <f>L48/D48</f>
        <v>0.20028032926722511</v>
      </c>
      <c r="N48" s="18">
        <v>53.10814110832618</v>
      </c>
      <c r="O48" s="18">
        <v>15.103372040078751</v>
      </c>
      <c r="P48" s="18">
        <v>3.605189749885843</v>
      </c>
      <c r="Q48" s="18">
        <v>20.606651817015603</v>
      </c>
      <c r="R48" s="21"/>
    </row>
  </sheetData>
  <mergeCells count="16">
    <mergeCell ref="A45:B45"/>
    <mergeCell ref="A46:B46"/>
    <mergeCell ref="A47:B47"/>
    <mergeCell ref="A48:B48"/>
    <mergeCell ref="A27:A39"/>
    <mergeCell ref="R27:R39"/>
    <mergeCell ref="A40:A42"/>
    <mergeCell ref="R40:R41"/>
    <mergeCell ref="A43:B43"/>
    <mergeCell ref="A44:B44"/>
    <mergeCell ref="A2:A10"/>
    <mergeCell ref="R2:R10"/>
    <mergeCell ref="A11:A18"/>
    <mergeCell ref="R11:R18"/>
    <mergeCell ref="A19:A26"/>
    <mergeCell ref="R19:R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Segura Benavides</dc:creator>
  <cp:lastModifiedBy>Cristian David Segura Benavides</cp:lastModifiedBy>
  <dcterms:created xsi:type="dcterms:W3CDTF">2025-11-22T17:13:29Z</dcterms:created>
  <dcterms:modified xsi:type="dcterms:W3CDTF">2025-11-22T17:46:58Z</dcterms:modified>
</cp:coreProperties>
</file>